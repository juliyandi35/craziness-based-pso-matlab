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yas\OneDrive\Documents\Project R\Mulung6\"/>
    </mc:Choice>
  </mc:AlternateContent>
  <xr:revisionPtr revIDLastSave="0" documentId="13_ncr:1_{2BF205F3-BD68-4ED4-A066-CFD8308FCA4F}" xr6:coauthVersionLast="47" xr6:coauthVersionMax="47" xr10:uidLastSave="{00000000-0000-0000-0000-000000000000}"/>
  <bookViews>
    <workbookView xWindow="-120" yWindow="-120" windowWidth="20730" windowHeight="11040" activeTab="4" xr2:uid="{8C4C26AA-DB82-4ABE-82E7-4171C7529A68}"/>
  </bookViews>
  <sheets>
    <sheet name="BusData" sheetId="2" r:id="rId1"/>
    <sheet name="BranchData" sheetId="3" r:id="rId2"/>
    <sheet name="Table 4.1" sheetId="7" r:id="rId3"/>
    <sheet name="Table 4.2" sheetId="4" r:id="rId4"/>
    <sheet name="Table 4.3" sheetId="8" r:id="rId5"/>
    <sheet name="Table 4.4" sheetId="5" r:id="rId6"/>
    <sheet name="Table 4.5" sheetId="6" r:id="rId7"/>
  </sheets>
  <calcPr calcId="191029"/>
  <pivotCaches>
    <pivotCache cacheId="17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8" l="1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1" i="8"/>
  <c r="G2" i="6"/>
  <c r="H2" i="6"/>
  <c r="G3" i="6"/>
  <c r="H3" i="6"/>
  <c r="G4" i="6"/>
  <c r="H4" i="6"/>
  <c r="G5" i="6"/>
  <c r="H5" i="6"/>
  <c r="G6" i="6"/>
  <c r="H6" i="6"/>
  <c r="G7" i="6"/>
  <c r="H7" i="6"/>
  <c r="G8" i="6"/>
  <c r="H8" i="6"/>
  <c r="G9" i="6"/>
  <c r="H9" i="6"/>
  <c r="G10" i="6"/>
  <c r="H10" i="6"/>
  <c r="G11" i="6"/>
  <c r="H11" i="6"/>
  <c r="G12" i="6"/>
  <c r="H12" i="6"/>
  <c r="G13" i="6"/>
  <c r="H13" i="6"/>
  <c r="G14" i="6"/>
  <c r="H14" i="6"/>
  <c r="G15" i="6"/>
  <c r="H15" i="6"/>
  <c r="G16" i="6"/>
  <c r="H16" i="6"/>
  <c r="G17" i="6"/>
  <c r="H17" i="6"/>
  <c r="G18" i="6"/>
  <c r="H18" i="6"/>
  <c r="G19" i="6"/>
  <c r="H19" i="6"/>
  <c r="G20" i="6"/>
  <c r="H20" i="6"/>
  <c r="G21" i="6"/>
  <c r="H21" i="6"/>
  <c r="G22" i="6"/>
  <c r="H22" i="6"/>
  <c r="G23" i="6"/>
  <c r="H23" i="6"/>
  <c r="G24" i="6"/>
  <c r="H24" i="6"/>
  <c r="G25" i="6"/>
  <c r="H25" i="6"/>
  <c r="G26" i="6"/>
  <c r="H26" i="6"/>
  <c r="G27" i="6"/>
  <c r="H27" i="6"/>
  <c r="G28" i="6"/>
  <c r="H28" i="6"/>
  <c r="G29" i="6"/>
  <c r="H29" i="6"/>
  <c r="G30" i="6"/>
  <c r="H30" i="6"/>
  <c r="G31" i="6"/>
  <c r="H31" i="6"/>
  <c r="G32" i="6"/>
  <c r="H32" i="6"/>
  <c r="G33" i="6"/>
  <c r="H33" i="6"/>
  <c r="G34" i="6"/>
  <c r="H34" i="6"/>
  <c r="G35" i="6"/>
  <c r="H35" i="6"/>
  <c r="G36" i="6"/>
  <c r="H36" i="6"/>
  <c r="G37" i="6"/>
  <c r="H37" i="6"/>
  <c r="G38" i="6"/>
  <c r="H38" i="6"/>
  <c r="G39" i="6"/>
  <c r="H39" i="6"/>
  <c r="G40" i="6"/>
  <c r="H40" i="6"/>
  <c r="G41" i="6"/>
  <c r="H41" i="6"/>
  <c r="G42" i="6"/>
  <c r="H42" i="6"/>
  <c r="G43" i="6"/>
  <c r="H43" i="6"/>
  <c r="G44" i="6"/>
  <c r="H44" i="6"/>
  <c r="G45" i="6"/>
  <c r="H45" i="6"/>
  <c r="G46" i="6"/>
  <c r="H46" i="6"/>
  <c r="G47" i="6"/>
  <c r="H47" i="6"/>
  <c r="G48" i="6"/>
  <c r="H48" i="6"/>
  <c r="G49" i="6"/>
  <c r="H49" i="6"/>
  <c r="G50" i="6"/>
  <c r="H50" i="6"/>
  <c r="G51" i="6"/>
  <c r="H51" i="6"/>
  <c r="G52" i="6"/>
  <c r="H52" i="6"/>
  <c r="G53" i="6"/>
  <c r="H53" i="6"/>
  <c r="G54" i="6"/>
  <c r="H54" i="6"/>
  <c r="G55" i="6"/>
  <c r="H55" i="6"/>
  <c r="G56" i="6"/>
  <c r="H56" i="6"/>
  <c r="G57" i="6"/>
  <c r="H57" i="6"/>
  <c r="G58" i="6"/>
  <c r="H58" i="6"/>
  <c r="G59" i="6"/>
  <c r="H59" i="6"/>
  <c r="G60" i="6"/>
  <c r="H60" i="6"/>
  <c r="G61" i="6"/>
  <c r="H61" i="6"/>
  <c r="G62" i="6"/>
  <c r="H62" i="6"/>
  <c r="G63" i="6"/>
  <c r="H63" i="6"/>
  <c r="G64" i="6"/>
  <c r="H64" i="6"/>
  <c r="G65" i="6"/>
  <c r="H65" i="6"/>
  <c r="G66" i="6"/>
  <c r="H66" i="6"/>
  <c r="G67" i="6"/>
  <c r="H67" i="6"/>
  <c r="G68" i="6"/>
  <c r="H68" i="6"/>
  <c r="G69" i="6"/>
  <c r="H69" i="6"/>
  <c r="G70" i="6"/>
  <c r="H70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2" i="6"/>
  <c r="F2" i="5"/>
  <c r="G2" i="5"/>
  <c r="D2" i="5"/>
  <c r="E3" i="4"/>
</calcChain>
</file>

<file path=xl/sharedStrings.xml><?xml version="1.0" encoding="utf-8"?>
<sst xmlns="http://schemas.openxmlformats.org/spreadsheetml/2006/main" count="43" uniqueCount="27">
  <si>
    <t>No.</t>
  </si>
  <si>
    <t>Bus</t>
  </si>
  <si>
    <t>P</t>
  </si>
  <si>
    <t>Q</t>
  </si>
  <si>
    <t>Dari</t>
  </si>
  <si>
    <t>Ke</t>
  </si>
  <si>
    <t>R (S)</t>
  </si>
  <si>
    <t>X (S)</t>
  </si>
  <si>
    <t>Kondisi Sistem</t>
  </si>
  <si>
    <t>1 DG</t>
  </si>
  <si>
    <t>Lokasi Optimal</t>
  </si>
  <si>
    <t>Kapasitas Optimal</t>
  </si>
  <si>
    <t>Total Rugi Daya Aktif</t>
  </si>
  <si>
    <t>Pengurangan Rugi</t>
  </si>
  <si>
    <t>0 DG</t>
  </si>
  <si>
    <t>3 DG</t>
  </si>
  <si>
    <t>pu</t>
  </si>
  <si>
    <t>Tegangan (p.u)</t>
  </si>
  <si>
    <t>-</t>
  </si>
  <si>
    <t>Total Kapasitas</t>
  </si>
  <si>
    <t>(blank)</t>
  </si>
  <si>
    <t>Grand Total</t>
  </si>
  <si>
    <t>Column Labels</t>
  </si>
  <si>
    <t>Count of 1.5986</t>
  </si>
  <si>
    <t>Metode Optimasi</t>
  </si>
  <si>
    <t>CRPSO</t>
  </si>
  <si>
    <t>* Itu 11 kak, nggak tahu 1 nya nggak kehitung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</si>
</sst>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4.1'!$B$1</c:f>
              <c:strCache>
                <c:ptCount val="1"/>
                <c:pt idx="0">
                  <c:v>Tegangan (p.u)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'Table 4.1'!$A$2:$A$70</c:f>
              <c:numCache>
                <c:formatCode>General</c:formatCode>
                <c:ptCount val="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</c:numCache>
            </c:numRef>
          </c:cat>
          <c:val>
            <c:numRef>
              <c:f>'Table 4.1'!$B$2:$B$70</c:f>
              <c:numCache>
                <c:formatCode>General</c:formatCode>
                <c:ptCount val="6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0.99974005062516902</c:v>
                </c:pt>
                <c:pt idx="6">
                  <c:v>0.95710726227729304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0.99936888335145002</c:v>
                </c:pt>
                <c:pt idx="29">
                  <c:v>0.99936888335145002</c:v>
                </c:pt>
                <c:pt idx="30">
                  <c:v>0.99936888335145002</c:v>
                </c:pt>
                <c:pt idx="31">
                  <c:v>0.99936888335145002</c:v>
                </c:pt>
                <c:pt idx="32">
                  <c:v>0.98704853769793099</c:v>
                </c:pt>
                <c:pt idx="33">
                  <c:v>0.94381435162293503</c:v>
                </c:pt>
                <c:pt idx="34">
                  <c:v>0.91634852385877896</c:v>
                </c:pt>
                <c:pt idx="35">
                  <c:v>0.9</c:v>
                </c:pt>
                <c:pt idx="36">
                  <c:v>0.99936888335145002</c:v>
                </c:pt>
                <c:pt idx="37">
                  <c:v>0.99936888335145002</c:v>
                </c:pt>
                <c:pt idx="38">
                  <c:v>0.99003312156155598</c:v>
                </c:pt>
                <c:pt idx="39">
                  <c:v>0.98733040947682804</c:v>
                </c:pt>
                <c:pt idx="40">
                  <c:v>0.98732177516441599</c:v>
                </c:pt>
                <c:pt idx="41">
                  <c:v>0.98732177516441599</c:v>
                </c:pt>
                <c:pt idx="42">
                  <c:v>0.98034022612062299</c:v>
                </c:pt>
                <c:pt idx="43">
                  <c:v>0.98034022612062299</c:v>
                </c:pt>
                <c:pt idx="44">
                  <c:v>0.97897779767786697</c:v>
                </c:pt>
                <c:pt idx="45">
                  <c:v>0.96254951653812204</c:v>
                </c:pt>
                <c:pt idx="46">
                  <c:v>0.96254951653812204</c:v>
                </c:pt>
                <c:pt idx="47">
                  <c:v>0.99851217584734797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0.9</c:v>
                </c:pt>
                <c:pt idx="61">
                  <c:v>0.9</c:v>
                </c:pt>
                <c:pt idx="62">
                  <c:v>0.9</c:v>
                </c:pt>
                <c:pt idx="63">
                  <c:v>0.9</c:v>
                </c:pt>
                <c:pt idx="64">
                  <c:v>0.9</c:v>
                </c:pt>
                <c:pt idx="65">
                  <c:v>0.9</c:v>
                </c:pt>
                <c:pt idx="66">
                  <c:v>0.9</c:v>
                </c:pt>
                <c:pt idx="67">
                  <c:v>0.9</c:v>
                </c:pt>
                <c:pt idx="68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E-4822-B5AD-43F707C3D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7606383"/>
        <c:axId val="1117595823"/>
      </c:barChart>
      <c:catAx>
        <c:axId val="111760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595823"/>
        <c:crosses val="autoZero"/>
        <c:auto val="1"/>
        <c:lblAlgn val="ctr"/>
        <c:lblOffset val="100"/>
        <c:noMultiLvlLbl val="0"/>
      </c:catAx>
      <c:valAx>
        <c:axId val="111759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60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4.5'!$F$2:$F$70</c:f>
              <c:numCache>
                <c:formatCode>General</c:formatCode>
                <c:ptCount val="6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0.99974005062516902</c:v>
                </c:pt>
                <c:pt idx="6">
                  <c:v>0.95710726227729304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0.99936888335145002</c:v>
                </c:pt>
                <c:pt idx="29">
                  <c:v>0.99936888335145002</c:v>
                </c:pt>
                <c:pt idx="30">
                  <c:v>0.99936888335145002</c:v>
                </c:pt>
                <c:pt idx="31">
                  <c:v>0.99936888335145002</c:v>
                </c:pt>
                <c:pt idx="32">
                  <c:v>0.98704853769793099</c:v>
                </c:pt>
                <c:pt idx="33">
                  <c:v>0.94381435162293503</c:v>
                </c:pt>
                <c:pt idx="34">
                  <c:v>0.91634852385877896</c:v>
                </c:pt>
                <c:pt idx="35">
                  <c:v>0.9</c:v>
                </c:pt>
                <c:pt idx="36">
                  <c:v>0.99936888335145002</c:v>
                </c:pt>
                <c:pt idx="37">
                  <c:v>0.99936888335145002</c:v>
                </c:pt>
                <c:pt idx="38">
                  <c:v>0.99003312156155598</c:v>
                </c:pt>
                <c:pt idx="39">
                  <c:v>0.98733040947682804</c:v>
                </c:pt>
                <c:pt idx="40">
                  <c:v>0.98732177516441599</c:v>
                </c:pt>
                <c:pt idx="41">
                  <c:v>0.98732177516441599</c:v>
                </c:pt>
                <c:pt idx="42">
                  <c:v>0.98034022612062299</c:v>
                </c:pt>
                <c:pt idx="43">
                  <c:v>0.98034022612062299</c:v>
                </c:pt>
                <c:pt idx="44">
                  <c:v>0.97897779767786697</c:v>
                </c:pt>
                <c:pt idx="45">
                  <c:v>0.96254951653812204</c:v>
                </c:pt>
                <c:pt idx="46">
                  <c:v>0.96254951653812204</c:v>
                </c:pt>
                <c:pt idx="47">
                  <c:v>0.99851217584734797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0.9</c:v>
                </c:pt>
                <c:pt idx="61">
                  <c:v>0.9</c:v>
                </c:pt>
                <c:pt idx="62">
                  <c:v>0.9</c:v>
                </c:pt>
                <c:pt idx="63">
                  <c:v>0.9</c:v>
                </c:pt>
                <c:pt idx="64">
                  <c:v>0.9</c:v>
                </c:pt>
                <c:pt idx="65">
                  <c:v>0.9</c:v>
                </c:pt>
                <c:pt idx="66">
                  <c:v>0.9</c:v>
                </c:pt>
                <c:pt idx="67">
                  <c:v>0.9</c:v>
                </c:pt>
                <c:pt idx="68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7-426C-87A2-455AF3B918D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'Table 4.5'!$G$2:$G$70</c:f>
              <c:numCache>
                <c:formatCode>General</c:formatCode>
                <c:ptCount val="6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1.00129619920246</c:v>
                </c:pt>
                <c:pt idx="5">
                  <c:v>1.0012961559734399</c:v>
                </c:pt>
                <c:pt idx="6">
                  <c:v>1.0012893704420001</c:v>
                </c:pt>
                <c:pt idx="7">
                  <c:v>1.0012763523339701</c:v>
                </c:pt>
                <c:pt idx="8">
                  <c:v>1.0012750858906401</c:v>
                </c:pt>
                <c:pt idx="9">
                  <c:v>1.0012703265243501</c:v>
                </c:pt>
                <c:pt idx="10">
                  <c:v>1.0012213134991801</c:v>
                </c:pt>
                <c:pt idx="11">
                  <c:v>1.0012101076291999</c:v>
                </c:pt>
                <c:pt idx="12">
                  <c:v>1.0012077769433501</c:v>
                </c:pt>
                <c:pt idx="13">
                  <c:v>1.00120440300869</c:v>
                </c:pt>
                <c:pt idx="14">
                  <c:v>1.00120440300869</c:v>
                </c:pt>
                <c:pt idx="15">
                  <c:v>1.0011848330911599</c:v>
                </c:pt>
                <c:pt idx="16">
                  <c:v>1.0011801357796</c:v>
                </c:pt>
                <c:pt idx="17">
                  <c:v>1.00117118932768</c:v>
                </c:pt>
                <c:pt idx="18">
                  <c:v>1.00117118932768</c:v>
                </c:pt>
                <c:pt idx="19">
                  <c:v>1.00117105826133</c:v>
                </c:pt>
                <c:pt idx="20">
                  <c:v>1.00116116002094</c:v>
                </c:pt>
                <c:pt idx="21">
                  <c:v>1.0011604235871401</c:v>
                </c:pt>
                <c:pt idx="22">
                  <c:v>1.0011604235871401</c:v>
                </c:pt>
                <c:pt idx="23">
                  <c:v>1.0011585849257501</c:v>
                </c:pt>
                <c:pt idx="24">
                  <c:v>1.0011585849257501</c:v>
                </c:pt>
                <c:pt idx="25">
                  <c:v>1.0011542581439401</c:v>
                </c:pt>
                <c:pt idx="26">
                  <c:v>1.0011524732021799</c:v>
                </c:pt>
                <c:pt idx="27">
                  <c:v>1.00115061426167</c:v>
                </c:pt>
                <c:pt idx="28">
                  <c:v>0.99936888335145002</c:v>
                </c:pt>
                <c:pt idx="29">
                  <c:v>0.99936888335145002</c:v>
                </c:pt>
                <c:pt idx="30">
                  <c:v>0.99936888335145002</c:v>
                </c:pt>
                <c:pt idx="31">
                  <c:v>0.99936888335145002</c:v>
                </c:pt>
                <c:pt idx="32">
                  <c:v>0.98704853769793099</c:v>
                </c:pt>
                <c:pt idx="33">
                  <c:v>0.94381435162293503</c:v>
                </c:pt>
                <c:pt idx="34">
                  <c:v>0.91634852385877896</c:v>
                </c:pt>
                <c:pt idx="35">
                  <c:v>0.9</c:v>
                </c:pt>
                <c:pt idx="36">
                  <c:v>0.99936888335145002</c:v>
                </c:pt>
                <c:pt idx="37">
                  <c:v>0.99936888335145002</c:v>
                </c:pt>
                <c:pt idx="38">
                  <c:v>0.99003312156155598</c:v>
                </c:pt>
                <c:pt idx="39">
                  <c:v>0.98733040947682804</c:v>
                </c:pt>
                <c:pt idx="40">
                  <c:v>0.98732177516441599</c:v>
                </c:pt>
                <c:pt idx="41">
                  <c:v>0.98732177516441599</c:v>
                </c:pt>
                <c:pt idx="42">
                  <c:v>0.98034022612062299</c:v>
                </c:pt>
                <c:pt idx="43">
                  <c:v>0.98034022612062299</c:v>
                </c:pt>
                <c:pt idx="44">
                  <c:v>0.97897779767786697</c:v>
                </c:pt>
                <c:pt idx="45">
                  <c:v>0.96254951653812204</c:v>
                </c:pt>
                <c:pt idx="46">
                  <c:v>0.96254951653812204</c:v>
                </c:pt>
                <c:pt idx="47">
                  <c:v>1.0012959521265701</c:v>
                </c:pt>
                <c:pt idx="48">
                  <c:v>1.0012659974292399</c:v>
                </c:pt>
                <c:pt idx="49">
                  <c:v>1.00116393424501</c:v>
                </c:pt>
                <c:pt idx="50">
                  <c:v>1.00116092676601</c:v>
                </c:pt>
                <c:pt idx="51">
                  <c:v>1.0012749319876599</c:v>
                </c:pt>
                <c:pt idx="52">
                  <c:v>1.0012743154058501</c:v>
                </c:pt>
                <c:pt idx="53">
                  <c:v>1.00126823378617</c:v>
                </c:pt>
                <c:pt idx="54">
                  <c:v>1.0012660163186</c:v>
                </c:pt>
                <c:pt idx="55">
                  <c:v>1.0012660163186</c:v>
                </c:pt>
                <c:pt idx="56">
                  <c:v>1.0012660163186</c:v>
                </c:pt>
                <c:pt idx="57">
                  <c:v>1.0012660163186</c:v>
                </c:pt>
                <c:pt idx="58">
                  <c:v>1.0012335516627999</c:v>
                </c:pt>
                <c:pt idx="59">
                  <c:v>1.0012335516627999</c:v>
                </c:pt>
                <c:pt idx="60">
                  <c:v>1.00103842369539</c:v>
                </c:pt>
                <c:pt idx="61">
                  <c:v>1.00103101529879</c:v>
                </c:pt>
                <c:pt idx="62">
                  <c:v>1.00103101529879</c:v>
                </c:pt>
                <c:pt idx="63">
                  <c:v>1.0010160308648901</c:v>
                </c:pt>
                <c:pt idx="64">
                  <c:v>1.0009969547964399</c:v>
                </c:pt>
                <c:pt idx="65">
                  <c:v>1.00098839475221</c:v>
                </c:pt>
                <c:pt idx="66">
                  <c:v>1.00120863407015</c:v>
                </c:pt>
                <c:pt idx="67">
                  <c:v>1.0012085808125599</c:v>
                </c:pt>
                <c:pt idx="68">
                  <c:v>1.00119923605382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17-426C-87A2-455AF3B918D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'Table 4.5'!$H$2:$H$70</c:f>
              <c:numCache>
                <c:formatCode>General</c:formatCode>
                <c:ptCount val="6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0.99974005062516902</c:v>
                </c:pt>
                <c:pt idx="6">
                  <c:v>0.95710726227729304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0.99936888335145002</c:v>
                </c:pt>
                <c:pt idx="29">
                  <c:v>0.99936888335145002</c:v>
                </c:pt>
                <c:pt idx="30">
                  <c:v>0.99936888335145002</c:v>
                </c:pt>
                <c:pt idx="31">
                  <c:v>0.99936888335145002</c:v>
                </c:pt>
                <c:pt idx="32">
                  <c:v>0.98704853769793099</c:v>
                </c:pt>
                <c:pt idx="33">
                  <c:v>0.94381435162293503</c:v>
                </c:pt>
                <c:pt idx="34">
                  <c:v>0.9</c:v>
                </c:pt>
                <c:pt idx="35">
                  <c:v>0.9</c:v>
                </c:pt>
                <c:pt idx="36">
                  <c:v>0.99936888335145002</c:v>
                </c:pt>
                <c:pt idx="37">
                  <c:v>0.99936888335145002</c:v>
                </c:pt>
                <c:pt idx="38">
                  <c:v>0.99003312156155598</c:v>
                </c:pt>
                <c:pt idx="39">
                  <c:v>0.98733040947682804</c:v>
                </c:pt>
                <c:pt idx="40">
                  <c:v>0.98732177516441599</c:v>
                </c:pt>
                <c:pt idx="41">
                  <c:v>0.98732177516441599</c:v>
                </c:pt>
                <c:pt idx="42">
                  <c:v>0.98034022612062299</c:v>
                </c:pt>
                <c:pt idx="43">
                  <c:v>0.98034022612062299</c:v>
                </c:pt>
                <c:pt idx="44">
                  <c:v>0.97897779767786697</c:v>
                </c:pt>
                <c:pt idx="45">
                  <c:v>0.96254951653812204</c:v>
                </c:pt>
                <c:pt idx="46">
                  <c:v>0.96254951653812204</c:v>
                </c:pt>
                <c:pt idx="47">
                  <c:v>0.99851217584734797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0.9</c:v>
                </c:pt>
                <c:pt idx="61">
                  <c:v>0.9</c:v>
                </c:pt>
                <c:pt idx="62">
                  <c:v>0.9</c:v>
                </c:pt>
                <c:pt idx="63">
                  <c:v>0.9</c:v>
                </c:pt>
                <c:pt idx="64">
                  <c:v>0.9</c:v>
                </c:pt>
                <c:pt idx="65">
                  <c:v>0.9</c:v>
                </c:pt>
                <c:pt idx="66">
                  <c:v>0.9</c:v>
                </c:pt>
                <c:pt idx="67">
                  <c:v>0.9</c:v>
                </c:pt>
                <c:pt idx="68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17-426C-87A2-455AF3B91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375119"/>
        <c:axId val="1057376079"/>
      </c:barChart>
      <c:catAx>
        <c:axId val="1057375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76079"/>
        <c:crosses val="autoZero"/>
        <c:auto val="1"/>
        <c:lblAlgn val="ctr"/>
        <c:lblOffset val="100"/>
        <c:noMultiLvlLbl val="0"/>
      </c:catAx>
      <c:valAx>
        <c:axId val="105737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7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3</xdr:row>
      <xdr:rowOff>185737</xdr:rowOff>
    </xdr:from>
    <xdr:to>
      <xdr:col>13</xdr:col>
      <xdr:colOff>295275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91E712-B5BC-01D5-79A5-DEF32F414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3</xdr:row>
      <xdr:rowOff>47625</xdr:rowOff>
    </xdr:from>
    <xdr:to>
      <xdr:col>12</xdr:col>
      <xdr:colOff>543346</xdr:colOff>
      <xdr:row>11</xdr:row>
      <xdr:rowOff>133575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3BFB6-2A7C-357B-6C54-4D440ED27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5225" y="619125"/>
          <a:ext cx="3019846" cy="1609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3</xdr:row>
      <xdr:rowOff>76200</xdr:rowOff>
    </xdr:from>
    <xdr:to>
      <xdr:col>16</xdr:col>
      <xdr:colOff>124506</xdr:colOff>
      <xdr:row>13</xdr:row>
      <xdr:rowOff>181256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D72CB8-9790-9FB9-8CD1-637C530D4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0" y="647700"/>
          <a:ext cx="4877481" cy="20100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457199</xdr:colOff>
      <xdr:row>1</xdr:row>
      <xdr:rowOff>114300</xdr:rowOff>
    </xdr:from>
    <xdr:to>
      <xdr:col>18</xdr:col>
      <xdr:colOff>523874</xdr:colOff>
      <xdr:row>20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9A0DBE-915F-8E51-51EB-5FA5E293E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yasa Pahlevi" refreshedDate="45467.92478854167" createdVersion="8" refreshedVersion="8" minRefreshableVersion="3" recordCount="25" xr:uid="{B5D72015-0EE1-455D-B3FD-D2C1D40B9D6E}">
  <cacheSource type="worksheet">
    <worksheetSource ref="B1:B1048576" sheet="Table 4.3"/>
  </cacheSource>
  <cacheFields count="1">
    <cacheField name="1.5986" numFmtId="0">
      <sharedItems containsString="0" containsBlank="1" containsNumber="1" minValue="1.5986" maxValue="2.3611" count="5">
        <n v="1.5986"/>
        <n v="2.0142000000000002"/>
        <n v="2.3611"/>
        <n v="1.928600000000000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</r>
  <r>
    <x v="1"/>
  </r>
  <r>
    <x v="2"/>
  </r>
  <r>
    <x v="0"/>
  </r>
  <r>
    <x v="3"/>
  </r>
  <r>
    <x v="0"/>
  </r>
  <r>
    <x v="2"/>
  </r>
  <r>
    <x v="0"/>
  </r>
  <r>
    <x v="1"/>
  </r>
  <r>
    <x v="3"/>
  </r>
  <r>
    <x v="0"/>
  </r>
  <r>
    <x v="0"/>
  </r>
  <r>
    <x v="3"/>
  </r>
  <r>
    <x v="1"/>
  </r>
  <r>
    <x v="0"/>
  </r>
  <r>
    <x v="3"/>
  </r>
  <r>
    <x v="3"/>
  </r>
  <r>
    <x v="0"/>
  </r>
  <r>
    <x v="1"/>
  </r>
  <r>
    <x v="2"/>
  </r>
  <r>
    <x v="0"/>
  </r>
  <r>
    <x v="2"/>
  </r>
  <r>
    <x v="0"/>
  </r>
  <r>
    <x v="1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CBA4B-2AE9-4F0C-8806-D11E43EEF9F1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L3" firstHeaderRow="1" firstDataRow="2" firstDataCol="1"/>
  <pivotFields count="1">
    <pivotField axis="axisCol" dataField="1" showAll="0">
      <items count="6">
        <item x="0"/>
        <item x="3"/>
        <item x="1"/>
        <item x="2"/>
        <item x="4"/>
        <item t="default"/>
      </items>
    </pivotField>
  </pivotFields>
  <rowItems count="1">
    <i/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1.5986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7DE0-2FB4-457D-9F8E-71DAED2023E4}">
  <dimension ref="A1:C70"/>
  <sheetViews>
    <sheetView topLeftCell="A50" workbookViewId="0">
      <selection activeCell="A3" sqref="A3:C70"/>
    </sheetView>
  </sheetViews>
  <sheetFormatPr defaultRowHeight="15" x14ac:dyDescent="0.25"/>
  <cols>
    <col min="1" max="1" width="9.28515625" style="1" bestFit="1" customWidth="1"/>
    <col min="2" max="2" width="9.5703125" style="1" bestFit="1" customWidth="1"/>
    <col min="3" max="3" width="9.28515625" style="1" bestFit="1" customWidth="1"/>
  </cols>
  <sheetData>
    <row r="1" spans="1:3" x14ac:dyDescent="0.25">
      <c r="A1" s="4" t="s">
        <v>0</v>
      </c>
      <c r="B1" s="4" t="s">
        <v>2</v>
      </c>
      <c r="C1" s="4" t="s">
        <v>3</v>
      </c>
    </row>
    <row r="2" spans="1:3" x14ac:dyDescent="0.25">
      <c r="A2" s="4"/>
      <c r="B2" s="4"/>
      <c r="C2" s="4"/>
    </row>
    <row r="3" spans="1:3" x14ac:dyDescent="0.25">
      <c r="A3" s="3">
        <v>1</v>
      </c>
      <c r="B3" s="3">
        <v>0</v>
      </c>
      <c r="C3" s="3">
        <v>0</v>
      </c>
    </row>
    <row r="4" spans="1:3" x14ac:dyDescent="0.25">
      <c r="A4" s="3">
        <v>2</v>
      </c>
      <c r="B4" s="3">
        <v>0</v>
      </c>
      <c r="C4" s="3">
        <v>0</v>
      </c>
    </row>
    <row r="5" spans="1:3" x14ac:dyDescent="0.25">
      <c r="A5" s="3">
        <v>3</v>
      </c>
      <c r="B5" s="3">
        <v>0</v>
      </c>
      <c r="C5" s="3">
        <v>0</v>
      </c>
    </row>
    <row r="6" spans="1:3" x14ac:dyDescent="0.25">
      <c r="A6" s="3">
        <v>4</v>
      </c>
      <c r="B6" s="3">
        <v>0</v>
      </c>
      <c r="C6" s="3">
        <v>0</v>
      </c>
    </row>
    <row r="7" spans="1:3" x14ac:dyDescent="0.25">
      <c r="A7" s="3">
        <v>5</v>
      </c>
      <c r="B7" s="3">
        <v>2.5999999999999999E-3</v>
      </c>
      <c r="C7" s="3">
        <v>2.2000000000000001E-3</v>
      </c>
    </row>
    <row r="8" spans="1:3" x14ac:dyDescent="0.25">
      <c r="A8" s="3">
        <v>6</v>
      </c>
      <c r="B8" s="3">
        <v>4.0399999999999998E-2</v>
      </c>
      <c r="C8" s="3">
        <v>0.03</v>
      </c>
    </row>
    <row r="9" spans="1:3" x14ac:dyDescent="0.25">
      <c r="A9" s="3">
        <v>7</v>
      </c>
      <c r="B9" s="3">
        <v>7.4999999999999997E-2</v>
      </c>
      <c r="C9" s="3">
        <v>5.3999999999999999E-2</v>
      </c>
    </row>
    <row r="10" spans="1:3" x14ac:dyDescent="0.25">
      <c r="A10" s="3">
        <v>8</v>
      </c>
      <c r="B10" s="3">
        <v>0.03</v>
      </c>
      <c r="C10" s="3">
        <v>2.1999999999999999E-2</v>
      </c>
    </row>
    <row r="11" spans="1:3" x14ac:dyDescent="0.25">
      <c r="A11" s="3">
        <v>9</v>
      </c>
      <c r="B11" s="3">
        <v>2.8000000000000001E-2</v>
      </c>
      <c r="C11" s="3">
        <v>1.9E-2</v>
      </c>
    </row>
    <row r="12" spans="1:3" x14ac:dyDescent="0.25">
      <c r="A12" s="3">
        <v>10</v>
      </c>
      <c r="B12" s="3">
        <v>0.14499999999999999</v>
      </c>
      <c r="C12" s="3">
        <v>0.104</v>
      </c>
    </row>
    <row r="13" spans="1:3" x14ac:dyDescent="0.25">
      <c r="A13" s="3">
        <v>11</v>
      </c>
      <c r="B13" s="3">
        <v>0.14499999999999999</v>
      </c>
      <c r="C13" s="3">
        <v>0.104</v>
      </c>
    </row>
    <row r="14" spans="1:3" x14ac:dyDescent="0.25">
      <c r="A14" s="3">
        <v>12</v>
      </c>
      <c r="B14" s="3">
        <v>8.0000000000000002E-3</v>
      </c>
      <c r="C14" s="3">
        <v>5.4999999999999997E-3</v>
      </c>
    </row>
    <row r="15" spans="1:3" x14ac:dyDescent="0.25">
      <c r="A15" s="3">
        <v>13</v>
      </c>
      <c r="B15" s="3">
        <v>8.0000000000000002E-3</v>
      </c>
      <c r="C15" s="3">
        <v>5.4999999999999997E-3</v>
      </c>
    </row>
    <row r="16" spans="1:3" x14ac:dyDescent="0.25">
      <c r="A16" s="3">
        <v>14</v>
      </c>
      <c r="B16" s="3">
        <v>0</v>
      </c>
      <c r="C16" s="3">
        <v>0</v>
      </c>
    </row>
    <row r="17" spans="1:3" x14ac:dyDescent="0.25">
      <c r="A17" s="3">
        <v>15</v>
      </c>
      <c r="B17" s="3">
        <v>4.5499999999999999E-2</v>
      </c>
      <c r="C17" s="3">
        <v>0.03</v>
      </c>
    </row>
    <row r="18" spans="1:3" x14ac:dyDescent="0.25">
      <c r="A18" s="3">
        <v>16</v>
      </c>
      <c r="B18" s="3">
        <v>0.06</v>
      </c>
      <c r="C18" s="3">
        <v>3.5000000000000003E-2</v>
      </c>
    </row>
    <row r="19" spans="1:3" x14ac:dyDescent="0.25">
      <c r="A19" s="3">
        <v>17</v>
      </c>
      <c r="B19" s="3">
        <v>0.06</v>
      </c>
      <c r="C19" s="3">
        <v>3.5000000000000003E-2</v>
      </c>
    </row>
    <row r="20" spans="1:3" x14ac:dyDescent="0.25">
      <c r="A20" s="3">
        <v>18</v>
      </c>
      <c r="B20" s="3">
        <v>0</v>
      </c>
      <c r="C20" s="3">
        <v>0</v>
      </c>
    </row>
    <row r="21" spans="1:3" x14ac:dyDescent="0.25">
      <c r="A21" s="3">
        <v>19</v>
      </c>
      <c r="B21" s="3">
        <v>1E-3</v>
      </c>
      <c r="C21" s="3">
        <v>5.9999999999999995E-4</v>
      </c>
    </row>
    <row r="22" spans="1:3" x14ac:dyDescent="0.25">
      <c r="A22" s="3">
        <v>20</v>
      </c>
      <c r="B22" s="3">
        <v>0.114</v>
      </c>
      <c r="C22" s="3">
        <v>8.1000000000000003E-2</v>
      </c>
    </row>
    <row r="23" spans="1:3" x14ac:dyDescent="0.25">
      <c r="A23" s="3">
        <v>21</v>
      </c>
      <c r="B23" s="3">
        <v>5.3E-3</v>
      </c>
      <c r="C23" s="3">
        <v>3.5000000000000001E-3</v>
      </c>
    </row>
    <row r="24" spans="1:3" x14ac:dyDescent="0.25">
      <c r="A24" s="3">
        <v>22</v>
      </c>
      <c r="B24" s="3">
        <v>0</v>
      </c>
      <c r="C24" s="3">
        <v>0</v>
      </c>
    </row>
    <row r="25" spans="1:3" x14ac:dyDescent="0.25">
      <c r="A25" s="3">
        <v>23</v>
      </c>
      <c r="B25" s="3">
        <v>2.8000000000000001E-2</v>
      </c>
      <c r="C25" s="3">
        <v>0.02</v>
      </c>
    </row>
    <row r="26" spans="1:3" x14ac:dyDescent="0.25">
      <c r="A26" s="3">
        <v>24</v>
      </c>
      <c r="B26" s="3">
        <v>0</v>
      </c>
      <c r="C26" s="3">
        <v>0</v>
      </c>
    </row>
    <row r="27" spans="1:3" x14ac:dyDescent="0.25">
      <c r="A27" s="3">
        <v>25</v>
      </c>
      <c r="B27" s="3">
        <v>1.4E-2</v>
      </c>
      <c r="C27" s="3">
        <v>0.01</v>
      </c>
    </row>
    <row r="28" spans="1:3" x14ac:dyDescent="0.25">
      <c r="A28" s="3">
        <v>26</v>
      </c>
      <c r="B28" s="3">
        <v>1.4E-2</v>
      </c>
      <c r="C28" s="3">
        <v>0.01</v>
      </c>
    </row>
    <row r="29" spans="1:3" x14ac:dyDescent="0.25">
      <c r="A29" s="3">
        <v>27</v>
      </c>
      <c r="B29" s="3">
        <v>2.5999999999999999E-2</v>
      </c>
      <c r="C29" s="3">
        <v>1.8599999999999998E-2</v>
      </c>
    </row>
    <row r="30" spans="1:3" x14ac:dyDescent="0.25">
      <c r="A30" s="3">
        <v>28</v>
      </c>
      <c r="B30" s="3">
        <v>2.5999999999999999E-2</v>
      </c>
      <c r="C30" s="3">
        <v>1.8599999999999998E-2</v>
      </c>
    </row>
    <row r="31" spans="1:3" x14ac:dyDescent="0.25">
      <c r="A31" s="3">
        <v>29</v>
      </c>
      <c r="B31" s="3">
        <v>0</v>
      </c>
      <c r="C31" s="3">
        <v>0</v>
      </c>
    </row>
    <row r="32" spans="1:3" x14ac:dyDescent="0.25">
      <c r="A32" s="3">
        <v>30</v>
      </c>
      <c r="B32" s="3">
        <v>0</v>
      </c>
      <c r="C32" s="3">
        <v>0</v>
      </c>
    </row>
    <row r="33" spans="1:3" x14ac:dyDescent="0.25">
      <c r="A33" s="3">
        <v>31</v>
      </c>
      <c r="B33" s="3">
        <v>0</v>
      </c>
      <c r="C33" s="3">
        <v>0</v>
      </c>
    </row>
    <row r="34" spans="1:3" x14ac:dyDescent="0.25">
      <c r="A34" s="3">
        <v>32</v>
      </c>
      <c r="B34" s="3">
        <v>1.4E-2</v>
      </c>
      <c r="C34" s="3">
        <v>0.01</v>
      </c>
    </row>
    <row r="35" spans="1:3" x14ac:dyDescent="0.25">
      <c r="A35" s="3">
        <v>33</v>
      </c>
      <c r="B35" s="3">
        <v>1.95E-2</v>
      </c>
      <c r="C35" s="3">
        <v>1.4E-2</v>
      </c>
    </row>
    <row r="36" spans="1:3" x14ac:dyDescent="0.25">
      <c r="A36" s="3">
        <v>34</v>
      </c>
      <c r="B36" s="3">
        <v>6.0000000000000001E-3</v>
      </c>
      <c r="C36" s="3">
        <v>4.0000000000000001E-3</v>
      </c>
    </row>
    <row r="37" spans="1:3" x14ac:dyDescent="0.25">
      <c r="A37" s="3">
        <v>35</v>
      </c>
      <c r="B37" s="3">
        <v>2.5999999999999999E-2</v>
      </c>
      <c r="C37" s="3">
        <v>1.8550000000000001E-2</v>
      </c>
    </row>
    <row r="38" spans="1:3" x14ac:dyDescent="0.25">
      <c r="A38" s="3">
        <v>36</v>
      </c>
      <c r="B38" s="3">
        <v>2.5999999999999999E-2</v>
      </c>
      <c r="C38" s="3">
        <v>1.8550000000000001E-2</v>
      </c>
    </row>
    <row r="39" spans="1:3" x14ac:dyDescent="0.25">
      <c r="A39" s="3">
        <v>37</v>
      </c>
      <c r="B39" s="3">
        <v>0</v>
      </c>
      <c r="C39" s="3">
        <v>0</v>
      </c>
    </row>
    <row r="40" spans="1:3" x14ac:dyDescent="0.25">
      <c r="A40" s="3">
        <v>38</v>
      </c>
      <c r="B40" s="3">
        <v>2.4E-2</v>
      </c>
      <c r="C40" s="3">
        <v>1.7000000000000001E-2</v>
      </c>
    </row>
    <row r="41" spans="1:3" x14ac:dyDescent="0.25">
      <c r="A41" s="3">
        <v>39</v>
      </c>
      <c r="B41" s="3">
        <v>2.4E-2</v>
      </c>
      <c r="C41" s="3">
        <v>1.7000000000000001E-2</v>
      </c>
    </row>
    <row r="42" spans="1:3" x14ac:dyDescent="0.25">
      <c r="A42" s="3">
        <v>40</v>
      </c>
      <c r="B42" s="3">
        <v>1.1999999999999999E-3</v>
      </c>
      <c r="C42" s="3">
        <v>1E-3</v>
      </c>
    </row>
    <row r="43" spans="1:3" x14ac:dyDescent="0.25">
      <c r="A43" s="3">
        <v>41</v>
      </c>
      <c r="B43" s="3">
        <v>0</v>
      </c>
      <c r="C43" s="3">
        <v>0</v>
      </c>
    </row>
    <row r="44" spans="1:3" x14ac:dyDescent="0.25">
      <c r="A44" s="3">
        <v>42</v>
      </c>
      <c r="B44" s="3">
        <v>6.0000000000000001E-3</v>
      </c>
      <c r="C44" s="3">
        <v>4.3E-3</v>
      </c>
    </row>
    <row r="45" spans="1:3" x14ac:dyDescent="0.25">
      <c r="A45" s="3">
        <v>43</v>
      </c>
      <c r="B45" s="3">
        <v>0</v>
      </c>
      <c r="C45" s="3">
        <v>0</v>
      </c>
    </row>
    <row r="46" spans="1:3" x14ac:dyDescent="0.25">
      <c r="A46" s="3">
        <v>44</v>
      </c>
      <c r="B46" s="3">
        <v>3.9219999999999998E-2</v>
      </c>
      <c r="C46" s="3">
        <v>2.63E-2</v>
      </c>
    </row>
    <row r="47" spans="1:3" x14ac:dyDescent="0.25">
      <c r="A47" s="3">
        <v>45</v>
      </c>
      <c r="B47" s="3">
        <v>3.9219999999999998E-2</v>
      </c>
      <c r="C47" s="3">
        <v>2.63E-2</v>
      </c>
    </row>
    <row r="48" spans="1:3" x14ac:dyDescent="0.25">
      <c r="A48" s="3">
        <v>46</v>
      </c>
      <c r="B48" s="3">
        <v>0</v>
      </c>
      <c r="C48" s="3">
        <v>0</v>
      </c>
    </row>
    <row r="49" spans="1:3" x14ac:dyDescent="0.25">
      <c r="A49" s="3">
        <v>47</v>
      </c>
      <c r="B49" s="3">
        <v>7.9000000000000001E-2</v>
      </c>
      <c r="C49" s="3">
        <v>5.6399999999999999E-2</v>
      </c>
    </row>
    <row r="50" spans="1:3" x14ac:dyDescent="0.25">
      <c r="A50" s="3">
        <v>48</v>
      </c>
      <c r="B50" s="3">
        <v>0.38469999999999999</v>
      </c>
      <c r="C50" s="3">
        <v>0.27450000000000002</v>
      </c>
    </row>
    <row r="51" spans="1:3" x14ac:dyDescent="0.25">
      <c r="A51" s="3">
        <v>49</v>
      </c>
      <c r="B51" s="3">
        <v>0.38469999999999999</v>
      </c>
      <c r="C51" s="3">
        <v>0.27450000000000002</v>
      </c>
    </row>
    <row r="52" spans="1:3" x14ac:dyDescent="0.25">
      <c r="A52" s="3">
        <v>50</v>
      </c>
      <c r="B52" s="3">
        <v>4.0500000000000001E-2</v>
      </c>
      <c r="C52" s="3">
        <v>2.8299999999999999E-2</v>
      </c>
    </row>
    <row r="53" spans="1:3" x14ac:dyDescent="0.25">
      <c r="A53" s="3">
        <v>51</v>
      </c>
      <c r="B53" s="3">
        <v>3.5999999999999999E-3</v>
      </c>
      <c r="C53" s="3">
        <v>2.7000000000000001E-3</v>
      </c>
    </row>
    <row r="54" spans="1:3" x14ac:dyDescent="0.25">
      <c r="A54" s="3">
        <v>52</v>
      </c>
      <c r="B54" s="3">
        <v>4.3499999999999997E-3</v>
      </c>
      <c r="C54" s="3">
        <v>3.5000000000000001E-3</v>
      </c>
    </row>
    <row r="55" spans="1:3" x14ac:dyDescent="0.25">
      <c r="A55" s="3">
        <v>53</v>
      </c>
      <c r="B55" s="3">
        <v>2.64E-2</v>
      </c>
      <c r="C55" s="3">
        <v>1.9E-2</v>
      </c>
    </row>
    <row r="56" spans="1:3" x14ac:dyDescent="0.25">
      <c r="A56" s="3">
        <v>54</v>
      </c>
      <c r="B56" s="3">
        <v>2.4E-2</v>
      </c>
      <c r="C56" s="3">
        <v>1.72E-2</v>
      </c>
    </row>
    <row r="57" spans="1:3" x14ac:dyDescent="0.25">
      <c r="A57" s="3">
        <v>55</v>
      </c>
      <c r="B57" s="3">
        <v>0</v>
      </c>
      <c r="C57" s="3">
        <v>0</v>
      </c>
    </row>
    <row r="58" spans="1:3" x14ac:dyDescent="0.25">
      <c r="A58" s="3">
        <v>56</v>
      </c>
      <c r="B58" s="3">
        <v>0</v>
      </c>
      <c r="C58" s="3">
        <v>0</v>
      </c>
    </row>
    <row r="59" spans="1:3" x14ac:dyDescent="0.25">
      <c r="A59" s="3">
        <v>57</v>
      </c>
      <c r="B59" s="3">
        <v>0</v>
      </c>
      <c r="C59" s="3">
        <v>0</v>
      </c>
    </row>
    <row r="60" spans="1:3" x14ac:dyDescent="0.25">
      <c r="A60" s="3">
        <v>58</v>
      </c>
      <c r="B60" s="3">
        <v>0.1</v>
      </c>
      <c r="C60" s="3">
        <v>7.1999999999999995E-2</v>
      </c>
    </row>
    <row r="61" spans="1:3" x14ac:dyDescent="0.25">
      <c r="A61" s="3">
        <v>59</v>
      </c>
      <c r="B61" s="3">
        <v>0</v>
      </c>
      <c r="C61" s="3">
        <v>0</v>
      </c>
    </row>
    <row r="62" spans="1:3" x14ac:dyDescent="0.25">
      <c r="A62" s="3">
        <v>60</v>
      </c>
      <c r="B62" s="3">
        <v>1.244</v>
      </c>
      <c r="C62" s="3">
        <v>0.88800000000000001</v>
      </c>
    </row>
    <row r="63" spans="1:3" x14ac:dyDescent="0.25">
      <c r="A63" s="3">
        <v>61</v>
      </c>
      <c r="B63" s="3">
        <v>3.2000000000000001E-2</v>
      </c>
      <c r="C63" s="3">
        <v>2.3E-2</v>
      </c>
    </row>
    <row r="64" spans="1:3" x14ac:dyDescent="0.25">
      <c r="A64" s="3">
        <v>62</v>
      </c>
      <c r="B64" s="3">
        <v>0</v>
      </c>
      <c r="C64" s="3">
        <v>0</v>
      </c>
    </row>
    <row r="65" spans="1:3" x14ac:dyDescent="0.25">
      <c r="A65" s="3">
        <v>63</v>
      </c>
      <c r="B65" s="3">
        <v>0.22700000000000001</v>
      </c>
      <c r="C65" s="3">
        <v>0.16200000000000001</v>
      </c>
    </row>
    <row r="66" spans="1:3" x14ac:dyDescent="0.25">
      <c r="A66" s="3">
        <v>64</v>
      </c>
      <c r="B66" s="3">
        <v>5.8999999999999997E-2</v>
      </c>
      <c r="C66" s="3">
        <v>4.2000000000000003E-2</v>
      </c>
    </row>
    <row r="67" spans="1:3" x14ac:dyDescent="0.25">
      <c r="A67" s="3">
        <v>65</v>
      </c>
      <c r="B67" s="3">
        <v>1.7999999999999999E-2</v>
      </c>
      <c r="C67" s="3">
        <v>1.2999999999999999E-2</v>
      </c>
    </row>
    <row r="68" spans="1:3" x14ac:dyDescent="0.25">
      <c r="A68" s="3">
        <v>66</v>
      </c>
      <c r="B68" s="3">
        <v>1.7999999999999999E-2</v>
      </c>
      <c r="C68" s="3">
        <v>1.2999999999999999E-2</v>
      </c>
    </row>
    <row r="69" spans="1:3" x14ac:dyDescent="0.25">
      <c r="A69" s="3">
        <v>67</v>
      </c>
      <c r="B69" s="3">
        <v>2.8000000000000001E-2</v>
      </c>
      <c r="C69" s="3">
        <v>0.02</v>
      </c>
    </row>
    <row r="70" spans="1:3" x14ac:dyDescent="0.25">
      <c r="A70" s="3">
        <v>68</v>
      </c>
      <c r="B70" s="3">
        <v>2.8000000000000001E-2</v>
      </c>
      <c r="C70" s="3">
        <v>0.02</v>
      </c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EC2C-F85A-43E0-AFE3-7B83A93EBDD7}">
  <dimension ref="A1:D70"/>
  <sheetViews>
    <sheetView workbookViewId="0">
      <selection activeCell="D70" sqref="A3:D70"/>
    </sheetView>
  </sheetViews>
  <sheetFormatPr defaultRowHeight="15" x14ac:dyDescent="0.25"/>
  <cols>
    <col min="1" max="2" width="9.28515625" style="1" bestFit="1" customWidth="1"/>
    <col min="3" max="3" width="10.140625" style="1" bestFit="1" customWidth="1"/>
    <col min="4" max="4" width="9.28515625" style="1" bestFit="1" customWidth="1"/>
  </cols>
  <sheetData>
    <row r="1" spans="1:4" x14ac:dyDescent="0.25">
      <c r="A1" s="5" t="s">
        <v>1</v>
      </c>
      <c r="B1" s="5"/>
      <c r="C1" s="5" t="s">
        <v>6</v>
      </c>
      <c r="D1" s="5" t="s">
        <v>7</v>
      </c>
    </row>
    <row r="2" spans="1:4" x14ac:dyDescent="0.25">
      <c r="A2" s="2" t="s">
        <v>4</v>
      </c>
      <c r="B2" s="2" t="s">
        <v>5</v>
      </c>
      <c r="C2" s="5"/>
      <c r="D2" s="5"/>
    </row>
    <row r="3" spans="1:4" x14ac:dyDescent="0.25">
      <c r="A3" s="2">
        <v>1</v>
      </c>
      <c r="B3" s="2">
        <v>2</v>
      </c>
      <c r="C3" s="2">
        <v>5.0000000000000001E-4</v>
      </c>
      <c r="D3" s="2">
        <v>1.1999999999999999E-3</v>
      </c>
    </row>
    <row r="4" spans="1:4" x14ac:dyDescent="0.25">
      <c r="A4" s="2">
        <v>2</v>
      </c>
      <c r="B4" s="2">
        <v>3</v>
      </c>
      <c r="C4" s="2">
        <v>5.0000000000000001E-4</v>
      </c>
      <c r="D4" s="2">
        <v>1.1999999999999999E-3</v>
      </c>
    </row>
    <row r="5" spans="1:4" x14ac:dyDescent="0.25">
      <c r="A5" s="2">
        <v>3</v>
      </c>
      <c r="B5" s="2">
        <v>4</v>
      </c>
      <c r="C5" s="2">
        <v>1.5E-3</v>
      </c>
      <c r="D5" s="2">
        <v>3.5999999999999999E-3</v>
      </c>
    </row>
    <row r="6" spans="1:4" x14ac:dyDescent="0.25">
      <c r="A6" s="2">
        <v>4</v>
      </c>
      <c r="B6" s="2">
        <v>5</v>
      </c>
      <c r="C6" s="2">
        <v>2.5100000000000001E-2</v>
      </c>
      <c r="D6" s="2">
        <v>2.9399999999999999E-2</v>
      </c>
    </row>
    <row r="7" spans="1:4" x14ac:dyDescent="0.25">
      <c r="A7" s="2">
        <v>5</v>
      </c>
      <c r="B7" s="2">
        <v>6</v>
      </c>
      <c r="C7" s="2">
        <v>0.36599999999999999</v>
      </c>
      <c r="D7" s="2">
        <v>0.18640000000000001</v>
      </c>
    </row>
    <row r="8" spans="1:4" x14ac:dyDescent="0.25">
      <c r="A8" s="2">
        <v>6</v>
      </c>
      <c r="B8" s="2">
        <v>7</v>
      </c>
      <c r="C8" s="2">
        <v>0.38109999999999999</v>
      </c>
      <c r="D8" s="2">
        <v>0.19409999999999999</v>
      </c>
    </row>
    <row r="9" spans="1:4" x14ac:dyDescent="0.25">
      <c r="A9" s="2">
        <v>7</v>
      </c>
      <c r="B9" s="2">
        <v>8</v>
      </c>
      <c r="C9" s="2">
        <v>9.2200000000000004E-2</v>
      </c>
      <c r="D9" s="2">
        <v>4.7E-2</v>
      </c>
    </row>
    <row r="10" spans="1:4" x14ac:dyDescent="0.25">
      <c r="A10" s="2">
        <v>8</v>
      </c>
      <c r="B10" s="2">
        <v>9</v>
      </c>
      <c r="C10" s="2">
        <v>0.49299999999999999</v>
      </c>
      <c r="D10" s="2">
        <v>2.5100000000000001E-2</v>
      </c>
    </row>
    <row r="11" spans="1:4" x14ac:dyDescent="0.25">
      <c r="A11" s="2">
        <v>9</v>
      </c>
      <c r="B11" s="2">
        <v>10</v>
      </c>
      <c r="C11" s="2">
        <v>0.81899999999999995</v>
      </c>
      <c r="D11" s="2">
        <v>0.2707</v>
      </c>
    </row>
    <row r="12" spans="1:4" x14ac:dyDescent="0.25">
      <c r="A12" s="2">
        <v>10</v>
      </c>
      <c r="B12" s="2">
        <v>11</v>
      </c>
      <c r="C12" s="2">
        <v>0.18720000000000001</v>
      </c>
      <c r="D12" s="2">
        <v>6.1899999999999997E-2</v>
      </c>
    </row>
    <row r="13" spans="1:4" x14ac:dyDescent="0.25">
      <c r="A13" s="2">
        <v>11</v>
      </c>
      <c r="B13" s="2">
        <v>12</v>
      </c>
      <c r="C13" s="2">
        <v>0.71140000000000003</v>
      </c>
      <c r="D13" s="2">
        <v>0.2351</v>
      </c>
    </row>
    <row r="14" spans="1:4" x14ac:dyDescent="0.25">
      <c r="A14" s="2">
        <v>12</v>
      </c>
      <c r="B14" s="2">
        <v>13</v>
      </c>
      <c r="C14" s="2">
        <v>1.03</v>
      </c>
      <c r="D14" s="2">
        <v>0.34</v>
      </c>
    </row>
    <row r="15" spans="1:4" x14ac:dyDescent="0.25">
      <c r="A15" s="2">
        <v>13</v>
      </c>
      <c r="B15" s="2">
        <v>14</v>
      </c>
      <c r="C15" s="2">
        <v>1.044</v>
      </c>
      <c r="D15" s="2">
        <v>0.34499999999999997</v>
      </c>
    </row>
    <row r="16" spans="1:4" x14ac:dyDescent="0.25">
      <c r="A16" s="2">
        <v>14</v>
      </c>
      <c r="B16" s="2">
        <v>15</v>
      </c>
      <c r="C16" s="2">
        <v>1.0580000000000001</v>
      </c>
      <c r="D16" s="2">
        <v>0.34960000000000002</v>
      </c>
    </row>
    <row r="17" spans="1:4" x14ac:dyDescent="0.25">
      <c r="A17" s="2">
        <v>15</v>
      </c>
      <c r="B17" s="2">
        <v>16</v>
      </c>
      <c r="C17" s="2">
        <v>0.1966</v>
      </c>
      <c r="D17" s="2">
        <v>6.5000000000000002E-2</v>
      </c>
    </row>
    <row r="18" spans="1:4" x14ac:dyDescent="0.25">
      <c r="A18" s="2">
        <v>16</v>
      </c>
      <c r="B18" s="2">
        <v>17</v>
      </c>
      <c r="C18" s="2">
        <v>0.37440000000000001</v>
      </c>
      <c r="D18" s="2">
        <v>0.12379999999999999</v>
      </c>
    </row>
    <row r="19" spans="1:4" x14ac:dyDescent="0.25">
      <c r="A19" s="2">
        <v>17</v>
      </c>
      <c r="B19" s="2">
        <v>18</v>
      </c>
      <c r="C19" s="2">
        <v>4.7000000000000002E-3</v>
      </c>
      <c r="D19" s="2">
        <v>1.6000000000000001E-3</v>
      </c>
    </row>
    <row r="20" spans="1:4" x14ac:dyDescent="0.25">
      <c r="A20" s="2">
        <v>18</v>
      </c>
      <c r="B20" s="2">
        <v>19</v>
      </c>
      <c r="C20" s="2">
        <v>0.3276</v>
      </c>
      <c r="D20" s="2">
        <v>0.10829999999999999</v>
      </c>
    </row>
    <row r="21" spans="1:4" x14ac:dyDescent="0.25">
      <c r="A21" s="2">
        <v>19</v>
      </c>
      <c r="B21" s="2">
        <v>20</v>
      </c>
      <c r="C21" s="2">
        <v>0.21060000000000001</v>
      </c>
      <c r="D21" s="2">
        <v>6.9599999999999995E-2</v>
      </c>
    </row>
    <row r="22" spans="1:4" x14ac:dyDescent="0.25">
      <c r="A22" s="2">
        <v>20</v>
      </c>
      <c r="B22" s="2">
        <v>21</v>
      </c>
      <c r="C22" s="2">
        <v>0.34160000000000001</v>
      </c>
      <c r="D22" s="2">
        <v>0.1129</v>
      </c>
    </row>
    <row r="23" spans="1:4" x14ac:dyDescent="0.25">
      <c r="A23" s="2">
        <v>21</v>
      </c>
      <c r="B23" s="2">
        <v>22</v>
      </c>
      <c r="C23" s="2">
        <v>1.4E-2</v>
      </c>
      <c r="D23" s="2">
        <v>4.5999999999999999E-3</v>
      </c>
    </row>
    <row r="24" spans="1:4" x14ac:dyDescent="0.25">
      <c r="A24" s="2">
        <v>22</v>
      </c>
      <c r="B24" s="2">
        <v>23</v>
      </c>
      <c r="C24" s="2">
        <v>0.15909999999999999</v>
      </c>
      <c r="D24" s="2">
        <v>5.2600000000000001E-2</v>
      </c>
    </row>
    <row r="25" spans="1:4" x14ac:dyDescent="0.25">
      <c r="A25" s="2">
        <v>23</v>
      </c>
      <c r="B25" s="2">
        <v>24</v>
      </c>
      <c r="C25" s="2">
        <v>0.3463</v>
      </c>
      <c r="D25" s="2">
        <v>0.1145</v>
      </c>
    </row>
    <row r="26" spans="1:4" x14ac:dyDescent="0.25">
      <c r="A26" s="2">
        <v>24</v>
      </c>
      <c r="B26" s="2">
        <v>25</v>
      </c>
      <c r="C26" s="2">
        <v>0.74880000000000002</v>
      </c>
      <c r="D26" s="2">
        <v>0.2475</v>
      </c>
    </row>
    <row r="27" spans="1:4" x14ac:dyDescent="0.25">
      <c r="A27" s="2">
        <v>25</v>
      </c>
      <c r="B27" s="2">
        <v>26</v>
      </c>
      <c r="C27" s="2">
        <v>0.30890000000000001</v>
      </c>
      <c r="D27" s="2">
        <v>0.1021</v>
      </c>
    </row>
    <row r="28" spans="1:4" x14ac:dyDescent="0.25">
      <c r="A28" s="2">
        <v>26</v>
      </c>
      <c r="B28" s="2">
        <v>27</v>
      </c>
      <c r="C28" s="2">
        <v>0.17319999999999999</v>
      </c>
      <c r="D28" s="2">
        <v>5.7200000000000001E-2</v>
      </c>
    </row>
    <row r="29" spans="1:4" x14ac:dyDescent="0.25">
      <c r="A29" s="2">
        <v>3</v>
      </c>
      <c r="B29" s="2">
        <v>28</v>
      </c>
      <c r="C29" s="2">
        <v>4.4000000000000003E-3</v>
      </c>
      <c r="D29" s="2">
        <v>1.0800000000000001E-2</v>
      </c>
    </row>
    <row r="30" spans="1:4" x14ac:dyDescent="0.25">
      <c r="A30" s="2">
        <v>28</v>
      </c>
      <c r="B30" s="2">
        <v>29</v>
      </c>
      <c r="C30" s="2">
        <v>6.4000000000000001E-2</v>
      </c>
      <c r="D30" s="2">
        <v>0.1565</v>
      </c>
    </row>
    <row r="31" spans="1:4" x14ac:dyDescent="0.25">
      <c r="A31" s="2">
        <v>29</v>
      </c>
      <c r="B31" s="2">
        <v>30</v>
      </c>
      <c r="C31" s="2">
        <v>0.39779999999999999</v>
      </c>
      <c r="D31" s="2">
        <v>0.13150000000000001</v>
      </c>
    </row>
    <row r="32" spans="1:4" x14ac:dyDescent="0.25">
      <c r="A32" s="2">
        <v>30</v>
      </c>
      <c r="B32" s="2">
        <v>31</v>
      </c>
      <c r="C32" s="2">
        <v>7.0199999999999999E-2</v>
      </c>
      <c r="D32" s="2">
        <v>2.3199999999999998E-2</v>
      </c>
    </row>
    <row r="33" spans="1:4" x14ac:dyDescent="0.25">
      <c r="A33" s="2">
        <v>31</v>
      </c>
      <c r="B33" s="2">
        <v>32</v>
      </c>
      <c r="C33" s="2">
        <v>0.35099999999999998</v>
      </c>
      <c r="D33" s="2">
        <v>0.11600000000000001</v>
      </c>
    </row>
    <row r="34" spans="1:4" x14ac:dyDescent="0.25">
      <c r="A34" s="2">
        <v>32</v>
      </c>
      <c r="B34" s="2">
        <v>33</v>
      </c>
      <c r="C34" s="2">
        <v>0.83899999999999997</v>
      </c>
      <c r="D34" s="2">
        <v>0.28160000000000002</v>
      </c>
    </row>
    <row r="35" spans="1:4" x14ac:dyDescent="0.25">
      <c r="A35" s="2">
        <v>33</v>
      </c>
      <c r="B35" s="2">
        <v>34</v>
      </c>
      <c r="C35" s="2">
        <v>1.708</v>
      </c>
      <c r="D35" s="2">
        <v>0.56459999999999999</v>
      </c>
    </row>
    <row r="36" spans="1:4" x14ac:dyDescent="0.25">
      <c r="A36" s="2">
        <v>34</v>
      </c>
      <c r="B36" s="2">
        <v>35</v>
      </c>
      <c r="C36" s="2">
        <v>1.474</v>
      </c>
      <c r="D36" s="2">
        <v>0.48730000000000001</v>
      </c>
    </row>
    <row r="37" spans="1:4" x14ac:dyDescent="0.25">
      <c r="A37" s="2">
        <v>3</v>
      </c>
      <c r="B37" s="2">
        <v>36</v>
      </c>
      <c r="C37" s="2">
        <v>4.4000000000000003E-3</v>
      </c>
      <c r="D37" s="2">
        <v>1.0800000000000001E-2</v>
      </c>
    </row>
    <row r="38" spans="1:4" x14ac:dyDescent="0.25">
      <c r="A38" s="2">
        <v>36</v>
      </c>
      <c r="B38" s="2">
        <v>37</v>
      </c>
      <c r="C38" s="2">
        <v>6.4000000000000001E-2</v>
      </c>
      <c r="D38" s="2">
        <v>0.1565</v>
      </c>
    </row>
    <row r="39" spans="1:4" x14ac:dyDescent="0.25">
      <c r="A39" s="2">
        <v>37</v>
      </c>
      <c r="B39" s="2">
        <v>38</v>
      </c>
      <c r="C39" s="2">
        <v>0.1053</v>
      </c>
      <c r="D39" s="2">
        <v>0.123</v>
      </c>
    </row>
    <row r="40" spans="1:4" x14ac:dyDescent="0.25">
      <c r="A40" s="2">
        <v>38</v>
      </c>
      <c r="B40" s="2">
        <v>39</v>
      </c>
      <c r="C40" s="2">
        <v>3.04E-2</v>
      </c>
      <c r="D40" s="2">
        <v>3.5499999999999997E-2</v>
      </c>
    </row>
    <row r="41" spans="1:4" x14ac:dyDescent="0.25">
      <c r="A41" s="2">
        <v>39</v>
      </c>
      <c r="B41" s="2">
        <v>40</v>
      </c>
      <c r="C41" s="2">
        <v>1.8E-3</v>
      </c>
      <c r="D41" s="2">
        <v>2.0999999999999999E-3</v>
      </c>
    </row>
    <row r="42" spans="1:4" x14ac:dyDescent="0.25">
      <c r="A42" s="2">
        <v>40</v>
      </c>
      <c r="B42" s="2">
        <v>41</v>
      </c>
      <c r="C42" s="2">
        <v>0.72829999999999995</v>
      </c>
      <c r="D42" s="2">
        <v>0.85089999999999999</v>
      </c>
    </row>
    <row r="43" spans="1:4" x14ac:dyDescent="0.25">
      <c r="A43" s="2">
        <v>41</v>
      </c>
      <c r="B43" s="2">
        <v>42</v>
      </c>
      <c r="C43" s="2">
        <v>0.31</v>
      </c>
      <c r="D43" s="2">
        <v>0.36230000000000001</v>
      </c>
    </row>
    <row r="44" spans="1:4" x14ac:dyDescent="0.25">
      <c r="A44" s="2">
        <v>42</v>
      </c>
      <c r="B44" s="2">
        <v>43</v>
      </c>
      <c r="C44" s="2">
        <v>4.1000000000000002E-2</v>
      </c>
      <c r="D44" s="2">
        <v>4.7800000000000002E-2</v>
      </c>
    </row>
    <row r="45" spans="1:4" x14ac:dyDescent="0.25">
      <c r="A45" s="2">
        <v>43</v>
      </c>
      <c r="B45" s="2">
        <v>44</v>
      </c>
      <c r="C45" s="2">
        <v>9.1999999999999998E-3</v>
      </c>
      <c r="D45" s="2">
        <v>1.1599999999999999E-2</v>
      </c>
    </row>
    <row r="46" spans="1:4" x14ac:dyDescent="0.25">
      <c r="A46" s="2">
        <v>44</v>
      </c>
      <c r="B46" s="2">
        <v>45</v>
      </c>
      <c r="C46" s="2">
        <v>0.1089</v>
      </c>
      <c r="D46" s="2">
        <v>0.13730000000000001</v>
      </c>
    </row>
    <row r="47" spans="1:4" x14ac:dyDescent="0.25">
      <c r="A47" s="2">
        <v>45</v>
      </c>
      <c r="B47" s="2">
        <v>46</v>
      </c>
      <c r="C47" s="2">
        <v>8.9999999999999998E-4</v>
      </c>
      <c r="D47" s="2">
        <v>1.1999999999999999E-3</v>
      </c>
    </row>
    <row r="48" spans="1:4" x14ac:dyDescent="0.25">
      <c r="A48" s="2">
        <v>4</v>
      </c>
      <c r="B48" s="2">
        <v>47</v>
      </c>
      <c r="C48" s="2">
        <v>3.3999999999999998E-3</v>
      </c>
      <c r="D48" s="2">
        <v>8.3999999999999995E-3</v>
      </c>
    </row>
    <row r="49" spans="1:4" x14ac:dyDescent="0.25">
      <c r="A49" s="2">
        <v>47</v>
      </c>
      <c r="B49" s="2">
        <v>48</v>
      </c>
      <c r="C49" s="2">
        <v>8.5099999999999995E-2</v>
      </c>
      <c r="D49" s="2">
        <v>0.20830000000000001</v>
      </c>
    </row>
    <row r="50" spans="1:4" x14ac:dyDescent="0.25">
      <c r="A50" s="2">
        <v>48</v>
      </c>
      <c r="B50" s="2">
        <v>49</v>
      </c>
      <c r="C50" s="2">
        <v>0.2898</v>
      </c>
      <c r="D50" s="2">
        <v>0.70909999999999995</v>
      </c>
    </row>
    <row r="51" spans="1:4" x14ac:dyDescent="0.25">
      <c r="A51" s="2">
        <v>49</v>
      </c>
      <c r="B51" s="2">
        <v>50</v>
      </c>
      <c r="C51" s="2">
        <v>8.2199999999999995E-2</v>
      </c>
      <c r="D51" s="2">
        <v>0.2011</v>
      </c>
    </row>
    <row r="52" spans="1:4" x14ac:dyDescent="0.25">
      <c r="A52" s="2">
        <v>8</v>
      </c>
      <c r="B52" s="2">
        <v>51</v>
      </c>
      <c r="C52" s="2">
        <v>9.2799999999999994E-2</v>
      </c>
      <c r="D52" s="2">
        <v>4.7300000000000002E-2</v>
      </c>
    </row>
    <row r="53" spans="1:4" x14ac:dyDescent="0.25">
      <c r="A53" s="2">
        <v>51</v>
      </c>
      <c r="B53" s="2">
        <v>52</v>
      </c>
      <c r="C53" s="2">
        <v>0.33189999999999997</v>
      </c>
      <c r="D53" s="2">
        <v>0.1114</v>
      </c>
    </row>
    <row r="54" spans="1:4" x14ac:dyDescent="0.25">
      <c r="A54" s="2">
        <v>9</v>
      </c>
      <c r="B54" s="2">
        <v>53</v>
      </c>
      <c r="C54" s="2">
        <v>0.17399999999999999</v>
      </c>
      <c r="D54" s="2">
        <v>8.8599999999999998E-2</v>
      </c>
    </row>
    <row r="55" spans="1:4" x14ac:dyDescent="0.25">
      <c r="A55" s="2">
        <v>53</v>
      </c>
      <c r="B55" s="2">
        <v>54</v>
      </c>
      <c r="C55" s="2">
        <v>0.20300000000000001</v>
      </c>
      <c r="D55" s="2">
        <v>0.10340000000000001</v>
      </c>
    </row>
    <row r="56" spans="1:4" x14ac:dyDescent="0.25">
      <c r="A56" s="2">
        <v>54</v>
      </c>
      <c r="B56" s="2">
        <v>55</v>
      </c>
      <c r="C56" s="2">
        <v>0.28420000000000001</v>
      </c>
      <c r="D56" s="2">
        <v>0.1447</v>
      </c>
    </row>
    <row r="57" spans="1:4" x14ac:dyDescent="0.25">
      <c r="A57" s="2">
        <v>55</v>
      </c>
      <c r="B57" s="2">
        <v>56</v>
      </c>
      <c r="C57" s="2">
        <v>0.28129999999999999</v>
      </c>
      <c r="D57" s="2">
        <v>0.14330000000000001</v>
      </c>
    </row>
    <row r="58" spans="1:4" x14ac:dyDescent="0.25">
      <c r="A58" s="2">
        <v>56</v>
      </c>
      <c r="B58" s="2">
        <v>57</v>
      </c>
      <c r="C58" s="2">
        <v>1.59</v>
      </c>
      <c r="D58" s="2">
        <v>0.53369999999999995</v>
      </c>
    </row>
    <row r="59" spans="1:4" x14ac:dyDescent="0.25">
      <c r="A59" s="2">
        <v>57</v>
      </c>
      <c r="B59" s="2">
        <v>58</v>
      </c>
      <c r="C59" s="2">
        <v>0.78369999999999995</v>
      </c>
      <c r="D59" s="2">
        <v>0.26300000000000001</v>
      </c>
    </row>
    <row r="60" spans="1:4" x14ac:dyDescent="0.25">
      <c r="A60" s="2">
        <v>58</v>
      </c>
      <c r="B60" s="2">
        <v>59</v>
      </c>
      <c r="C60" s="2">
        <v>0.30420000000000003</v>
      </c>
      <c r="D60" s="2">
        <v>0.10059999999999999</v>
      </c>
    </row>
    <row r="61" spans="1:4" x14ac:dyDescent="0.25">
      <c r="A61" s="2">
        <v>59</v>
      </c>
      <c r="B61" s="2">
        <v>60</v>
      </c>
      <c r="C61" s="2">
        <v>0.3861</v>
      </c>
      <c r="D61" s="2">
        <v>0.1172</v>
      </c>
    </row>
    <row r="62" spans="1:4" x14ac:dyDescent="0.25">
      <c r="A62" s="2">
        <v>60</v>
      </c>
      <c r="B62" s="2">
        <v>61</v>
      </c>
      <c r="C62" s="2">
        <v>0.50749999999999995</v>
      </c>
      <c r="D62" s="2">
        <v>0.25850000000000001</v>
      </c>
    </row>
    <row r="63" spans="1:4" x14ac:dyDescent="0.25">
      <c r="A63" s="2">
        <v>61</v>
      </c>
      <c r="B63" s="2">
        <v>62</v>
      </c>
      <c r="C63" s="2">
        <v>9.74E-2</v>
      </c>
      <c r="D63" s="2">
        <v>4.9599999999999998E-2</v>
      </c>
    </row>
    <row r="64" spans="1:4" x14ac:dyDescent="0.25">
      <c r="A64" s="2">
        <v>62</v>
      </c>
      <c r="B64" s="2">
        <v>63</v>
      </c>
      <c r="C64" s="2">
        <v>0.14499999999999999</v>
      </c>
      <c r="D64" s="2">
        <v>7.3800000000000004E-2</v>
      </c>
    </row>
    <row r="65" spans="1:4" x14ac:dyDescent="0.25">
      <c r="A65" s="2">
        <v>63</v>
      </c>
      <c r="B65" s="2">
        <v>64</v>
      </c>
      <c r="C65" s="2">
        <v>0.71050000000000002</v>
      </c>
      <c r="D65" s="2">
        <v>0.3619</v>
      </c>
    </row>
    <row r="66" spans="1:4" x14ac:dyDescent="0.25">
      <c r="A66" s="2">
        <v>64</v>
      </c>
      <c r="B66" s="2">
        <v>65</v>
      </c>
      <c r="C66" s="2">
        <v>1.0409999999999999</v>
      </c>
      <c r="D66" s="2">
        <v>0.5302</v>
      </c>
    </row>
    <row r="67" spans="1:4" x14ac:dyDescent="0.25">
      <c r="A67" s="2">
        <v>11</v>
      </c>
      <c r="B67" s="2">
        <v>66</v>
      </c>
      <c r="C67" s="2">
        <v>0.20119999999999999</v>
      </c>
      <c r="D67" s="2">
        <v>6.1100000000000002E-2</v>
      </c>
    </row>
    <row r="68" spans="1:4" x14ac:dyDescent="0.25">
      <c r="A68" s="2">
        <v>66</v>
      </c>
      <c r="B68" s="2">
        <v>67</v>
      </c>
      <c r="C68" s="2">
        <v>4.7000000000000002E-3</v>
      </c>
      <c r="D68" s="2">
        <v>1.4E-3</v>
      </c>
    </row>
    <row r="69" spans="1:4" x14ac:dyDescent="0.25">
      <c r="A69" s="2">
        <v>12</v>
      </c>
      <c r="B69" s="2">
        <v>68</v>
      </c>
      <c r="C69" s="2">
        <v>0.73939999999999995</v>
      </c>
      <c r="D69" s="2">
        <v>0.24440000000000001</v>
      </c>
    </row>
    <row r="70" spans="1:4" x14ac:dyDescent="0.25">
      <c r="A70" s="2">
        <v>68</v>
      </c>
      <c r="B70" s="2">
        <v>69</v>
      </c>
      <c r="C70" s="2">
        <v>4.7000000000000002E-3</v>
      </c>
      <c r="D70" s="2">
        <v>1.6000000000000001E-3</v>
      </c>
    </row>
  </sheetData>
  <mergeCells count="3">
    <mergeCell ref="A1:B1"/>
    <mergeCell ref="C1:C2"/>
    <mergeCell ref="D1:D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3C7D-520B-40CE-AD23-7285ECAD363E}">
  <dimension ref="A1:B70"/>
  <sheetViews>
    <sheetView workbookViewId="0">
      <selection sqref="A1:B1048576"/>
    </sheetView>
  </sheetViews>
  <sheetFormatPr defaultRowHeight="15" x14ac:dyDescent="0.25"/>
  <cols>
    <col min="2" max="2" width="14.28515625" bestFit="1" customWidth="1"/>
  </cols>
  <sheetData>
    <row r="1" spans="1:2" x14ac:dyDescent="0.25">
      <c r="A1" s="1" t="s">
        <v>1</v>
      </c>
      <c r="B1" s="1" t="s">
        <v>17</v>
      </c>
    </row>
    <row r="2" spans="1:2" x14ac:dyDescent="0.25">
      <c r="A2" s="1">
        <v>1</v>
      </c>
      <c r="B2" s="1">
        <v>1</v>
      </c>
    </row>
    <row r="3" spans="1:2" x14ac:dyDescent="0.25">
      <c r="A3" s="1">
        <v>2</v>
      </c>
      <c r="B3" s="1">
        <v>1</v>
      </c>
    </row>
    <row r="4" spans="1:2" x14ac:dyDescent="0.25">
      <c r="A4" s="1">
        <v>3</v>
      </c>
      <c r="B4" s="1">
        <v>1</v>
      </c>
    </row>
    <row r="5" spans="1:2" x14ac:dyDescent="0.25">
      <c r="A5" s="1">
        <v>4</v>
      </c>
      <c r="B5" s="1">
        <v>1</v>
      </c>
    </row>
    <row r="6" spans="1:2" x14ac:dyDescent="0.25">
      <c r="A6" s="1">
        <v>5</v>
      </c>
      <c r="B6" s="1">
        <v>1</v>
      </c>
    </row>
    <row r="7" spans="1:2" x14ac:dyDescent="0.25">
      <c r="A7" s="1">
        <v>6</v>
      </c>
      <c r="B7" s="1">
        <v>0.99974005062516902</v>
      </c>
    </row>
    <row r="8" spans="1:2" x14ac:dyDescent="0.25">
      <c r="A8" s="1">
        <v>7</v>
      </c>
      <c r="B8" s="1">
        <v>0.95710726227729304</v>
      </c>
    </row>
    <row r="9" spans="1:2" x14ac:dyDescent="0.25">
      <c r="A9" s="1">
        <v>8</v>
      </c>
      <c r="B9" s="1">
        <v>0.9</v>
      </c>
    </row>
    <row r="10" spans="1:2" x14ac:dyDescent="0.25">
      <c r="A10" s="1">
        <v>9</v>
      </c>
      <c r="B10" s="1">
        <v>0.9</v>
      </c>
    </row>
    <row r="11" spans="1:2" x14ac:dyDescent="0.25">
      <c r="A11" s="1">
        <v>10</v>
      </c>
      <c r="B11" s="1">
        <v>0.9</v>
      </c>
    </row>
    <row r="12" spans="1:2" x14ac:dyDescent="0.25">
      <c r="A12" s="1">
        <v>11</v>
      </c>
      <c r="B12" s="1">
        <v>0.9</v>
      </c>
    </row>
    <row r="13" spans="1:2" x14ac:dyDescent="0.25">
      <c r="A13" s="1">
        <v>12</v>
      </c>
      <c r="B13" s="1">
        <v>0.9</v>
      </c>
    </row>
    <row r="14" spans="1:2" x14ac:dyDescent="0.25">
      <c r="A14" s="1">
        <v>13</v>
      </c>
      <c r="B14" s="1">
        <v>0.9</v>
      </c>
    </row>
    <row r="15" spans="1:2" x14ac:dyDescent="0.25">
      <c r="A15" s="1">
        <v>14</v>
      </c>
      <c r="B15" s="1">
        <v>0.9</v>
      </c>
    </row>
    <row r="16" spans="1:2" x14ac:dyDescent="0.25">
      <c r="A16" s="1">
        <v>15</v>
      </c>
      <c r="B16" s="1">
        <v>0.9</v>
      </c>
    </row>
    <row r="17" spans="1:2" x14ac:dyDescent="0.25">
      <c r="A17" s="1">
        <v>16</v>
      </c>
      <c r="B17" s="1">
        <v>0.9</v>
      </c>
    </row>
    <row r="18" spans="1:2" x14ac:dyDescent="0.25">
      <c r="A18" s="1">
        <v>17</v>
      </c>
      <c r="B18" s="1">
        <v>0.9</v>
      </c>
    </row>
    <row r="19" spans="1:2" x14ac:dyDescent="0.25">
      <c r="A19" s="1">
        <v>18</v>
      </c>
      <c r="B19" s="1">
        <v>0.9</v>
      </c>
    </row>
    <row r="20" spans="1:2" x14ac:dyDescent="0.25">
      <c r="A20" s="1">
        <v>19</v>
      </c>
      <c r="B20" s="1">
        <v>0.9</v>
      </c>
    </row>
    <row r="21" spans="1:2" x14ac:dyDescent="0.25">
      <c r="A21" s="1">
        <v>20</v>
      </c>
      <c r="B21" s="1">
        <v>0.9</v>
      </c>
    </row>
    <row r="22" spans="1:2" x14ac:dyDescent="0.25">
      <c r="A22" s="1">
        <v>21</v>
      </c>
      <c r="B22" s="1">
        <v>0.9</v>
      </c>
    </row>
    <row r="23" spans="1:2" x14ac:dyDescent="0.25">
      <c r="A23" s="1">
        <v>22</v>
      </c>
      <c r="B23" s="1">
        <v>0.9</v>
      </c>
    </row>
    <row r="24" spans="1:2" x14ac:dyDescent="0.25">
      <c r="A24" s="1">
        <v>23</v>
      </c>
      <c r="B24" s="1">
        <v>0.9</v>
      </c>
    </row>
    <row r="25" spans="1:2" x14ac:dyDescent="0.25">
      <c r="A25" s="1">
        <v>24</v>
      </c>
      <c r="B25" s="1">
        <v>0.9</v>
      </c>
    </row>
    <row r="26" spans="1:2" x14ac:dyDescent="0.25">
      <c r="A26" s="1">
        <v>25</v>
      </c>
      <c r="B26" s="1">
        <v>0.9</v>
      </c>
    </row>
    <row r="27" spans="1:2" x14ac:dyDescent="0.25">
      <c r="A27" s="1">
        <v>26</v>
      </c>
      <c r="B27" s="1">
        <v>0.9</v>
      </c>
    </row>
    <row r="28" spans="1:2" x14ac:dyDescent="0.25">
      <c r="A28" s="1">
        <v>27</v>
      </c>
      <c r="B28" s="1">
        <v>0.9</v>
      </c>
    </row>
    <row r="29" spans="1:2" x14ac:dyDescent="0.25">
      <c r="A29" s="1">
        <v>28</v>
      </c>
      <c r="B29" s="1">
        <v>0.9</v>
      </c>
    </row>
    <row r="30" spans="1:2" x14ac:dyDescent="0.25">
      <c r="A30" s="1">
        <v>29</v>
      </c>
      <c r="B30" s="1">
        <v>0.99936888335145002</v>
      </c>
    </row>
    <row r="31" spans="1:2" x14ac:dyDescent="0.25">
      <c r="A31" s="1">
        <v>30</v>
      </c>
      <c r="B31" s="1">
        <v>0.99936888335145002</v>
      </c>
    </row>
    <row r="32" spans="1:2" x14ac:dyDescent="0.25">
      <c r="A32" s="1">
        <v>31</v>
      </c>
      <c r="B32" s="1">
        <v>0.99936888335145002</v>
      </c>
    </row>
    <row r="33" spans="1:2" x14ac:dyDescent="0.25">
      <c r="A33" s="1">
        <v>32</v>
      </c>
      <c r="B33" s="1">
        <v>0.99936888335145002</v>
      </c>
    </row>
    <row r="34" spans="1:2" x14ac:dyDescent="0.25">
      <c r="A34" s="1">
        <v>33</v>
      </c>
      <c r="B34" s="1">
        <v>0.98704853769793099</v>
      </c>
    </row>
    <row r="35" spans="1:2" x14ac:dyDescent="0.25">
      <c r="A35" s="1">
        <v>34</v>
      </c>
      <c r="B35" s="1">
        <v>0.94381435162293503</v>
      </c>
    </row>
    <row r="36" spans="1:2" x14ac:dyDescent="0.25">
      <c r="A36" s="1">
        <v>35</v>
      </c>
      <c r="B36" s="1">
        <v>0.91634852385877896</v>
      </c>
    </row>
    <row r="37" spans="1:2" x14ac:dyDescent="0.25">
      <c r="A37" s="1">
        <v>36</v>
      </c>
      <c r="B37" s="1">
        <v>0.9</v>
      </c>
    </row>
    <row r="38" spans="1:2" x14ac:dyDescent="0.25">
      <c r="A38" s="1">
        <v>37</v>
      </c>
      <c r="B38" s="1">
        <v>0.99936888335145002</v>
      </c>
    </row>
    <row r="39" spans="1:2" x14ac:dyDescent="0.25">
      <c r="A39" s="1">
        <v>38</v>
      </c>
      <c r="B39" s="1">
        <v>0.99936888335145002</v>
      </c>
    </row>
    <row r="40" spans="1:2" x14ac:dyDescent="0.25">
      <c r="A40" s="1">
        <v>39</v>
      </c>
      <c r="B40" s="1">
        <v>0.99003312156155598</v>
      </c>
    </row>
    <row r="41" spans="1:2" x14ac:dyDescent="0.25">
      <c r="A41" s="1">
        <v>40</v>
      </c>
      <c r="B41" s="1">
        <v>0.98733040947682804</v>
      </c>
    </row>
    <row r="42" spans="1:2" x14ac:dyDescent="0.25">
      <c r="A42" s="1">
        <v>41</v>
      </c>
      <c r="B42" s="1">
        <v>0.98732177516441599</v>
      </c>
    </row>
    <row r="43" spans="1:2" x14ac:dyDescent="0.25">
      <c r="A43" s="1">
        <v>42</v>
      </c>
      <c r="B43" s="1">
        <v>0.98732177516441599</v>
      </c>
    </row>
    <row r="44" spans="1:2" x14ac:dyDescent="0.25">
      <c r="A44" s="1">
        <v>43</v>
      </c>
      <c r="B44" s="1">
        <v>0.98034022612062299</v>
      </c>
    </row>
    <row r="45" spans="1:2" x14ac:dyDescent="0.25">
      <c r="A45" s="1">
        <v>44</v>
      </c>
      <c r="B45" s="1">
        <v>0.98034022612062299</v>
      </c>
    </row>
    <row r="46" spans="1:2" x14ac:dyDescent="0.25">
      <c r="A46" s="1">
        <v>45</v>
      </c>
      <c r="B46" s="1">
        <v>0.97897779767786697</v>
      </c>
    </row>
    <row r="47" spans="1:2" x14ac:dyDescent="0.25">
      <c r="A47" s="1">
        <v>46</v>
      </c>
      <c r="B47" s="1">
        <v>0.96254951653812204</v>
      </c>
    </row>
    <row r="48" spans="1:2" x14ac:dyDescent="0.25">
      <c r="A48" s="1">
        <v>47</v>
      </c>
      <c r="B48" s="1">
        <v>0.96254951653812204</v>
      </c>
    </row>
    <row r="49" spans="1:2" x14ac:dyDescent="0.25">
      <c r="A49" s="1">
        <v>48</v>
      </c>
      <c r="B49" s="1">
        <v>0.99851217584734797</v>
      </c>
    </row>
    <row r="50" spans="1:2" x14ac:dyDescent="0.25">
      <c r="A50" s="1">
        <v>49</v>
      </c>
      <c r="B50" s="1">
        <v>0.9</v>
      </c>
    </row>
    <row r="51" spans="1:2" x14ac:dyDescent="0.25">
      <c r="A51" s="1">
        <v>50</v>
      </c>
      <c r="B51" s="1">
        <v>0.9</v>
      </c>
    </row>
    <row r="52" spans="1:2" x14ac:dyDescent="0.25">
      <c r="A52" s="1">
        <v>51</v>
      </c>
      <c r="B52" s="1">
        <v>0.9</v>
      </c>
    </row>
    <row r="53" spans="1:2" x14ac:dyDescent="0.25">
      <c r="A53" s="1">
        <v>52</v>
      </c>
      <c r="B53" s="1">
        <v>0.9</v>
      </c>
    </row>
    <row r="54" spans="1:2" x14ac:dyDescent="0.25">
      <c r="A54" s="1">
        <v>53</v>
      </c>
      <c r="B54" s="1">
        <v>0.9</v>
      </c>
    </row>
    <row r="55" spans="1:2" x14ac:dyDescent="0.25">
      <c r="A55" s="1">
        <v>54</v>
      </c>
      <c r="B55" s="1">
        <v>0.9</v>
      </c>
    </row>
    <row r="56" spans="1:2" x14ac:dyDescent="0.25">
      <c r="A56" s="1">
        <v>55</v>
      </c>
      <c r="B56" s="1">
        <v>0.9</v>
      </c>
    </row>
    <row r="57" spans="1:2" x14ac:dyDescent="0.25">
      <c r="A57" s="1">
        <v>56</v>
      </c>
      <c r="B57" s="1">
        <v>0.9</v>
      </c>
    </row>
    <row r="58" spans="1:2" x14ac:dyDescent="0.25">
      <c r="A58" s="1">
        <v>57</v>
      </c>
      <c r="B58" s="1">
        <v>0.9</v>
      </c>
    </row>
    <row r="59" spans="1:2" x14ac:dyDescent="0.25">
      <c r="A59" s="1">
        <v>58</v>
      </c>
      <c r="B59" s="1">
        <v>0.9</v>
      </c>
    </row>
    <row r="60" spans="1:2" x14ac:dyDescent="0.25">
      <c r="A60" s="1">
        <v>59</v>
      </c>
      <c r="B60" s="1">
        <v>0.9</v>
      </c>
    </row>
    <row r="61" spans="1:2" x14ac:dyDescent="0.25">
      <c r="A61" s="1">
        <v>60</v>
      </c>
      <c r="B61" s="1">
        <v>0.9</v>
      </c>
    </row>
    <row r="62" spans="1:2" x14ac:dyDescent="0.25">
      <c r="A62" s="1">
        <v>61</v>
      </c>
      <c r="B62" s="1">
        <v>0.9</v>
      </c>
    </row>
    <row r="63" spans="1:2" x14ac:dyDescent="0.25">
      <c r="A63" s="1">
        <v>62</v>
      </c>
      <c r="B63" s="1">
        <v>0.9</v>
      </c>
    </row>
    <row r="64" spans="1:2" x14ac:dyDescent="0.25">
      <c r="A64" s="1">
        <v>63</v>
      </c>
      <c r="B64" s="1">
        <v>0.9</v>
      </c>
    </row>
    <row r="65" spans="1:2" x14ac:dyDescent="0.25">
      <c r="A65" s="1">
        <v>64</v>
      </c>
      <c r="B65" s="1">
        <v>0.9</v>
      </c>
    </row>
    <row r="66" spans="1:2" x14ac:dyDescent="0.25">
      <c r="A66" s="1">
        <v>65</v>
      </c>
      <c r="B66" s="1">
        <v>0.9</v>
      </c>
    </row>
    <row r="67" spans="1:2" x14ac:dyDescent="0.25">
      <c r="A67" s="1">
        <v>66</v>
      </c>
      <c r="B67" s="1">
        <v>0.9</v>
      </c>
    </row>
    <row r="68" spans="1:2" x14ac:dyDescent="0.25">
      <c r="A68" s="1">
        <v>67</v>
      </c>
      <c r="B68" s="1">
        <v>0.9</v>
      </c>
    </row>
    <row r="69" spans="1:2" x14ac:dyDescent="0.25">
      <c r="A69" s="1">
        <v>68</v>
      </c>
      <c r="B69" s="1">
        <v>0.9</v>
      </c>
    </row>
    <row r="70" spans="1:2" x14ac:dyDescent="0.25">
      <c r="A70" s="1">
        <v>69</v>
      </c>
      <c r="B70" s="1">
        <v>0.9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53B4-50EC-4F82-BC56-1B3941CC4DD7}">
  <dimension ref="A1:E3"/>
  <sheetViews>
    <sheetView workbookViewId="0">
      <selection activeCell="E3" sqref="A1:E3"/>
    </sheetView>
  </sheetViews>
  <sheetFormatPr defaultRowHeight="15" x14ac:dyDescent="0.25"/>
  <cols>
    <col min="1" max="1" width="15" customWidth="1"/>
    <col min="2" max="2" width="17.42578125" customWidth="1"/>
    <col min="3" max="3" width="17" bestFit="1" customWidth="1"/>
    <col min="4" max="4" width="19.42578125" bestFit="1" customWidth="1"/>
    <col min="5" max="5" width="17" bestFit="1" customWidth="1"/>
  </cols>
  <sheetData>
    <row r="1" spans="1:5" x14ac:dyDescent="0.25">
      <c r="A1" t="s">
        <v>8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14</v>
      </c>
      <c r="B2" t="s">
        <v>18</v>
      </c>
      <c r="C2" t="s">
        <v>18</v>
      </c>
      <c r="D2">
        <v>3.6526999999999998</v>
      </c>
      <c r="E2" t="s">
        <v>18</v>
      </c>
    </row>
    <row r="3" spans="1:5" x14ac:dyDescent="0.25">
      <c r="A3" t="s">
        <v>9</v>
      </c>
      <c r="B3">
        <v>4</v>
      </c>
      <c r="C3">
        <v>1.0826</v>
      </c>
      <c r="D3">
        <v>1.5986</v>
      </c>
      <c r="E3">
        <f>100-D3/D2*100</f>
        <v>56.235113751471509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AA60-0262-460F-A85F-B798A718AB78}">
  <dimension ref="A1:L25"/>
  <sheetViews>
    <sheetView tabSelected="1" workbookViewId="0">
      <selection activeCell="G5" sqref="G5"/>
    </sheetView>
  </sheetViews>
  <sheetFormatPr defaultRowHeight="15" x14ac:dyDescent="0.25"/>
  <cols>
    <col min="6" max="6" width="19.85546875" customWidth="1"/>
    <col min="7" max="7" width="16.28515625" customWidth="1"/>
    <col min="8" max="10" width="7" bestFit="1" customWidth="1"/>
    <col min="11" max="11" width="7.28515625" bestFit="1" customWidth="1"/>
    <col min="12" max="12" width="11.28515625" bestFit="1" customWidth="1"/>
    <col min="13" max="22" width="16.28515625" bestFit="1" customWidth="1"/>
    <col min="23" max="23" width="11.28515625" bestFit="1" customWidth="1"/>
  </cols>
  <sheetData>
    <row r="1" spans="1:12" x14ac:dyDescent="0.25">
      <c r="A1">
        <v>1.5985553518631701</v>
      </c>
      <c r="B1">
        <f>ROUND(A1,4)</f>
        <v>1.5986</v>
      </c>
      <c r="G1" s="7" t="s">
        <v>22</v>
      </c>
    </row>
    <row r="2" spans="1:12" x14ac:dyDescent="0.25">
      <c r="A2">
        <v>1.5985553518631701</v>
      </c>
      <c r="B2">
        <f t="shared" ref="B2:B25" si="0">ROUND(A2,4)</f>
        <v>1.5986</v>
      </c>
      <c r="G2">
        <v>1.5986</v>
      </c>
      <c r="H2">
        <v>1.9286000000000001</v>
      </c>
      <c r="I2">
        <v>2.0142000000000002</v>
      </c>
      <c r="J2">
        <v>2.3611</v>
      </c>
      <c r="K2" t="s">
        <v>20</v>
      </c>
      <c r="L2" t="s">
        <v>21</v>
      </c>
    </row>
    <row r="3" spans="1:12" x14ac:dyDescent="0.25">
      <c r="A3">
        <v>2.0142336190264301</v>
      </c>
      <c r="B3">
        <f t="shared" si="0"/>
        <v>2.0142000000000002</v>
      </c>
      <c r="F3" t="s">
        <v>23</v>
      </c>
      <c r="G3" s="6">
        <v>10</v>
      </c>
      <c r="H3" s="6">
        <v>5</v>
      </c>
      <c r="I3" s="6">
        <v>5</v>
      </c>
      <c r="J3" s="6">
        <v>4</v>
      </c>
      <c r="K3" s="6"/>
      <c r="L3" s="6">
        <v>24</v>
      </c>
    </row>
    <row r="4" spans="1:12" x14ac:dyDescent="0.25">
      <c r="A4">
        <v>2.36109891845306</v>
      </c>
      <c r="B4">
        <f t="shared" si="0"/>
        <v>2.3611</v>
      </c>
      <c r="G4" t="s">
        <v>26</v>
      </c>
    </row>
    <row r="5" spans="1:12" x14ac:dyDescent="0.25">
      <c r="A5">
        <v>1.5985553518631701</v>
      </c>
      <c r="B5">
        <f t="shared" si="0"/>
        <v>1.5986</v>
      </c>
    </row>
    <row r="6" spans="1:12" x14ac:dyDescent="0.25">
      <c r="A6">
        <v>1.92863364195597</v>
      </c>
      <c r="B6">
        <f t="shared" si="0"/>
        <v>1.9286000000000001</v>
      </c>
    </row>
    <row r="7" spans="1:12" x14ac:dyDescent="0.25">
      <c r="A7">
        <v>1.5985553518631701</v>
      </c>
      <c r="B7">
        <f t="shared" si="0"/>
        <v>1.5986</v>
      </c>
      <c r="F7" s="4" t="s">
        <v>24</v>
      </c>
      <c r="G7" s="4" t="s">
        <v>12</v>
      </c>
      <c r="H7" s="4"/>
      <c r="I7" s="4"/>
      <c r="J7" s="4"/>
      <c r="K7" s="4"/>
    </row>
    <row r="8" spans="1:12" x14ac:dyDescent="0.25">
      <c r="A8">
        <v>2.36109891845306</v>
      </c>
      <c r="B8">
        <f t="shared" si="0"/>
        <v>2.3611</v>
      </c>
      <c r="F8" s="4"/>
      <c r="G8" s="9">
        <v>1.5986</v>
      </c>
      <c r="H8" s="9">
        <v>1.9286000000000001</v>
      </c>
      <c r="I8" s="9">
        <v>2.0142000000000002</v>
      </c>
      <c r="J8" s="9">
        <v>2.3611</v>
      </c>
      <c r="K8" s="8"/>
    </row>
    <row r="9" spans="1:12" x14ac:dyDescent="0.25">
      <c r="A9">
        <v>1.5985553518631701</v>
      </c>
      <c r="B9">
        <f t="shared" si="0"/>
        <v>1.5986</v>
      </c>
      <c r="F9" s="1" t="s">
        <v>25</v>
      </c>
      <c r="G9" s="10">
        <v>11</v>
      </c>
      <c r="H9" s="10">
        <v>5</v>
      </c>
      <c r="I9" s="10">
        <v>5</v>
      </c>
      <c r="J9" s="10">
        <v>4</v>
      </c>
      <c r="K9" s="8"/>
    </row>
    <row r="10" spans="1:12" x14ac:dyDescent="0.25">
      <c r="A10">
        <v>2.0142085039401199</v>
      </c>
      <c r="B10">
        <f t="shared" si="0"/>
        <v>2.0142000000000002</v>
      </c>
    </row>
    <row r="11" spans="1:12" x14ac:dyDescent="0.25">
      <c r="A11">
        <v>1.92863364195597</v>
      </c>
      <c r="B11">
        <f t="shared" si="0"/>
        <v>1.9286000000000001</v>
      </c>
    </row>
    <row r="12" spans="1:12" x14ac:dyDescent="0.25">
      <c r="A12">
        <v>1.5985553518631701</v>
      </c>
      <c r="B12">
        <f t="shared" si="0"/>
        <v>1.5986</v>
      </c>
    </row>
    <row r="13" spans="1:12" x14ac:dyDescent="0.25">
      <c r="A13">
        <v>1.5985553518631701</v>
      </c>
      <c r="B13">
        <f t="shared" si="0"/>
        <v>1.5986</v>
      </c>
    </row>
    <row r="14" spans="1:12" x14ac:dyDescent="0.25">
      <c r="A14">
        <v>1.92863364195597</v>
      </c>
      <c r="B14">
        <f t="shared" si="0"/>
        <v>1.9286000000000001</v>
      </c>
    </row>
    <row r="15" spans="1:12" x14ac:dyDescent="0.25">
      <c r="A15">
        <v>2.0141852552250299</v>
      </c>
      <c r="B15">
        <f t="shared" si="0"/>
        <v>2.0142000000000002</v>
      </c>
    </row>
    <row r="16" spans="1:12" x14ac:dyDescent="0.25">
      <c r="A16">
        <v>1.5985553518631701</v>
      </c>
      <c r="B16">
        <f t="shared" si="0"/>
        <v>1.5986</v>
      </c>
    </row>
    <row r="17" spans="1:2" x14ac:dyDescent="0.25">
      <c r="A17">
        <v>1.92863364195597</v>
      </c>
      <c r="B17">
        <f t="shared" si="0"/>
        <v>1.9286000000000001</v>
      </c>
    </row>
    <row r="18" spans="1:2" x14ac:dyDescent="0.25">
      <c r="A18">
        <v>1.92863364195597</v>
      </c>
      <c r="B18">
        <f t="shared" si="0"/>
        <v>1.9286000000000001</v>
      </c>
    </row>
    <row r="19" spans="1:2" x14ac:dyDescent="0.25">
      <c r="A19">
        <v>1.5985553518631701</v>
      </c>
      <c r="B19">
        <f t="shared" si="0"/>
        <v>1.5986</v>
      </c>
    </row>
    <row r="20" spans="1:2" x14ac:dyDescent="0.25">
      <c r="A20">
        <v>2.0142275568732901</v>
      </c>
      <c r="B20">
        <f t="shared" si="0"/>
        <v>2.0142000000000002</v>
      </c>
    </row>
    <row r="21" spans="1:2" x14ac:dyDescent="0.25">
      <c r="A21">
        <v>2.36109891845306</v>
      </c>
      <c r="B21">
        <f t="shared" si="0"/>
        <v>2.3611</v>
      </c>
    </row>
    <row r="22" spans="1:2" x14ac:dyDescent="0.25">
      <c r="A22">
        <v>1.5985553518631701</v>
      </c>
      <c r="B22">
        <f t="shared" si="0"/>
        <v>1.5986</v>
      </c>
    </row>
    <row r="23" spans="1:2" x14ac:dyDescent="0.25">
      <c r="A23">
        <v>2.36109891845306</v>
      </c>
      <c r="B23">
        <f t="shared" si="0"/>
        <v>2.3611</v>
      </c>
    </row>
    <row r="24" spans="1:2" x14ac:dyDescent="0.25">
      <c r="A24">
        <v>1.5985553518631701</v>
      </c>
      <c r="B24">
        <f t="shared" si="0"/>
        <v>1.5986</v>
      </c>
    </row>
    <row r="25" spans="1:2" x14ac:dyDescent="0.25">
      <c r="A25">
        <v>2.0141828210052899</v>
      </c>
      <c r="B25">
        <f>ROUND(A25,4)</f>
        <v>2.0142000000000002</v>
      </c>
    </row>
  </sheetData>
  <mergeCells count="2">
    <mergeCell ref="G7:K7"/>
    <mergeCell ref="F7:F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B8F9-4B2B-465A-9664-6B4AF8F42B7F}">
  <dimension ref="A1:G4"/>
  <sheetViews>
    <sheetView workbookViewId="0">
      <selection sqref="A1:G4"/>
    </sheetView>
  </sheetViews>
  <sheetFormatPr defaultRowHeight="15" x14ac:dyDescent="0.25"/>
  <cols>
    <col min="1" max="2" width="14.140625" bestFit="1" customWidth="1"/>
    <col min="3" max="3" width="17" bestFit="1" customWidth="1"/>
    <col min="4" max="4" width="14.28515625" bestFit="1" customWidth="1"/>
    <col min="5" max="5" width="19.42578125" bestFit="1" customWidth="1"/>
    <col min="6" max="6" width="17" bestFit="1" customWidth="1"/>
  </cols>
  <sheetData>
    <row r="1" spans="1:7" x14ac:dyDescent="0.25">
      <c r="A1" s="1" t="s">
        <v>8</v>
      </c>
      <c r="B1" s="1" t="s">
        <v>10</v>
      </c>
      <c r="C1" s="1" t="s">
        <v>11</v>
      </c>
      <c r="D1" s="1" t="s">
        <v>19</v>
      </c>
      <c r="E1" s="1" t="s">
        <v>12</v>
      </c>
      <c r="F1" s="1" t="s">
        <v>13</v>
      </c>
      <c r="G1" s="1" t="s">
        <v>14</v>
      </c>
    </row>
    <row r="2" spans="1:7" x14ac:dyDescent="0.25">
      <c r="A2" s="4" t="s">
        <v>15</v>
      </c>
      <c r="B2" s="1">
        <v>34</v>
      </c>
      <c r="C2" s="1">
        <v>597.21220000000005</v>
      </c>
      <c r="D2" s="4">
        <f>SUM(C2:C4)</f>
        <v>1672.0196000000001</v>
      </c>
      <c r="E2" s="4">
        <v>1.0296080000000001</v>
      </c>
      <c r="F2" s="4">
        <f>100-E2/G2*100</f>
        <v>80.434258784181822</v>
      </c>
      <c r="G2" s="4">
        <f>5.2623</f>
        <v>5.2622999999999998</v>
      </c>
    </row>
    <row r="3" spans="1:7" x14ac:dyDescent="0.25">
      <c r="A3" s="4"/>
      <c r="B3" s="1">
        <v>69</v>
      </c>
      <c r="C3" s="1">
        <v>0</v>
      </c>
      <c r="D3" s="4"/>
      <c r="E3" s="4"/>
      <c r="F3" s="4"/>
      <c r="G3" s="4"/>
    </row>
    <row r="4" spans="1:7" x14ac:dyDescent="0.25">
      <c r="A4" s="4"/>
      <c r="B4" s="1">
        <v>35</v>
      </c>
      <c r="C4" s="1">
        <v>1074.8073999999999</v>
      </c>
      <c r="D4" s="4"/>
      <c r="E4" s="4"/>
      <c r="F4" s="4"/>
      <c r="G4" s="4"/>
    </row>
  </sheetData>
  <mergeCells count="5">
    <mergeCell ref="D2:D4"/>
    <mergeCell ref="F2:F4"/>
    <mergeCell ref="G2:G4"/>
    <mergeCell ref="E2:E4"/>
    <mergeCell ref="A2:A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F2D7-BFA7-455C-A41E-8A86A3DA5E38}">
  <dimension ref="A1:H70"/>
  <sheetViews>
    <sheetView workbookViewId="0">
      <selection activeCell="F1" sqref="F1:H1048576"/>
    </sheetView>
  </sheetViews>
  <sheetFormatPr defaultRowHeight="15" x14ac:dyDescent="0.25"/>
  <sheetData>
    <row r="1" spans="1:8" x14ac:dyDescent="0.25">
      <c r="A1" t="s">
        <v>14</v>
      </c>
      <c r="B1" t="s">
        <v>9</v>
      </c>
      <c r="C1" t="s">
        <v>15</v>
      </c>
      <c r="D1" t="s">
        <v>16</v>
      </c>
      <c r="F1" t="s">
        <v>14</v>
      </c>
      <c r="G1" t="s">
        <v>9</v>
      </c>
      <c r="H1" t="s">
        <v>15</v>
      </c>
    </row>
    <row r="2" spans="1:8" x14ac:dyDescent="0.25">
      <c r="A2">
        <v>1</v>
      </c>
      <c r="B2">
        <v>1</v>
      </c>
      <c r="C2">
        <v>1</v>
      </c>
      <c r="F2">
        <f>IF(A2&lt;0.9,0.9,A2)</f>
        <v>1</v>
      </c>
      <c r="G2">
        <f t="shared" ref="G2:H17" si="0">IF(B2&lt;0.9,0.9,B2)</f>
        <v>1</v>
      </c>
      <c r="H2">
        <f t="shared" si="0"/>
        <v>1</v>
      </c>
    </row>
    <row r="3" spans="1:8" x14ac:dyDescent="0.25">
      <c r="A3">
        <v>1</v>
      </c>
      <c r="B3">
        <v>1</v>
      </c>
      <c r="C3">
        <v>1</v>
      </c>
      <c r="F3">
        <f t="shared" ref="F3:F66" si="1">IF(A3&lt;0.9,0.9,A3)</f>
        <v>1</v>
      </c>
      <c r="G3">
        <f t="shared" si="0"/>
        <v>1</v>
      </c>
      <c r="H3">
        <f t="shared" si="0"/>
        <v>1</v>
      </c>
    </row>
    <row r="4" spans="1:8" x14ac:dyDescent="0.25">
      <c r="A4">
        <v>1</v>
      </c>
      <c r="B4">
        <v>1</v>
      </c>
      <c r="C4">
        <v>1</v>
      </c>
      <c r="F4">
        <f t="shared" si="1"/>
        <v>1</v>
      </c>
      <c r="G4">
        <f t="shared" si="0"/>
        <v>1</v>
      </c>
      <c r="H4">
        <f t="shared" si="0"/>
        <v>1</v>
      </c>
    </row>
    <row r="5" spans="1:8" x14ac:dyDescent="0.25">
      <c r="A5">
        <v>1</v>
      </c>
      <c r="B5">
        <v>1</v>
      </c>
      <c r="C5">
        <v>1</v>
      </c>
      <c r="F5">
        <f t="shared" si="1"/>
        <v>1</v>
      </c>
      <c r="G5">
        <f t="shared" si="0"/>
        <v>1</v>
      </c>
      <c r="H5">
        <f t="shared" si="0"/>
        <v>1</v>
      </c>
    </row>
    <row r="6" spans="1:8" x14ac:dyDescent="0.25">
      <c r="A6">
        <v>1</v>
      </c>
      <c r="B6">
        <v>1.00129619920246</v>
      </c>
      <c r="C6">
        <v>1</v>
      </c>
      <c r="F6">
        <f t="shared" si="1"/>
        <v>1</v>
      </c>
      <c r="G6">
        <f t="shared" si="0"/>
        <v>1.00129619920246</v>
      </c>
      <c r="H6">
        <f t="shared" si="0"/>
        <v>1</v>
      </c>
    </row>
    <row r="7" spans="1:8" x14ac:dyDescent="0.25">
      <c r="A7">
        <v>0.99974005062516902</v>
      </c>
      <c r="B7">
        <v>1.0012961559734399</v>
      </c>
      <c r="C7">
        <v>0.99974005062516902</v>
      </c>
      <c r="F7">
        <f t="shared" si="1"/>
        <v>0.99974005062516902</v>
      </c>
      <c r="G7">
        <f t="shared" si="0"/>
        <v>1.0012961559734399</v>
      </c>
      <c r="H7">
        <f t="shared" si="0"/>
        <v>0.99974005062516902</v>
      </c>
    </row>
    <row r="8" spans="1:8" x14ac:dyDescent="0.25">
      <c r="A8">
        <v>0.95710726227729304</v>
      </c>
      <c r="B8">
        <v>1.0012893704420001</v>
      </c>
      <c r="C8">
        <v>0.95710726227729304</v>
      </c>
      <c r="F8">
        <f t="shared" si="1"/>
        <v>0.95710726227729304</v>
      </c>
      <c r="G8">
        <f t="shared" si="0"/>
        <v>1.0012893704420001</v>
      </c>
      <c r="H8">
        <f t="shared" si="0"/>
        <v>0.95710726227729304</v>
      </c>
    </row>
    <row r="9" spans="1:8" x14ac:dyDescent="0.25">
      <c r="A9">
        <v>0.86670494315327495</v>
      </c>
      <c r="B9">
        <v>1.0012763523339701</v>
      </c>
      <c r="C9">
        <v>0.86670494315327495</v>
      </c>
      <c r="F9">
        <f t="shared" si="1"/>
        <v>0.9</v>
      </c>
      <c r="G9">
        <f t="shared" si="0"/>
        <v>1.0012763523339701</v>
      </c>
      <c r="H9">
        <f t="shared" si="0"/>
        <v>0.9</v>
      </c>
    </row>
    <row r="10" spans="1:8" x14ac:dyDescent="0.25">
      <c r="A10">
        <v>0.85781641897854899</v>
      </c>
      <c r="B10">
        <v>1.0012750858906401</v>
      </c>
      <c r="C10">
        <v>0.85781641897854899</v>
      </c>
      <c r="F10">
        <f t="shared" si="1"/>
        <v>0.9</v>
      </c>
      <c r="G10">
        <f t="shared" si="0"/>
        <v>1.0012750858906401</v>
      </c>
      <c r="H10">
        <f t="shared" si="0"/>
        <v>0.9</v>
      </c>
    </row>
    <row r="11" spans="1:8" x14ac:dyDescent="0.25">
      <c r="A11">
        <v>0.82214784306541799</v>
      </c>
      <c r="B11">
        <v>1.0012703265243501</v>
      </c>
      <c r="C11">
        <v>0.82214784306541799</v>
      </c>
      <c r="F11">
        <f t="shared" si="1"/>
        <v>0.9</v>
      </c>
      <c r="G11">
        <f t="shared" si="0"/>
        <v>1.0012703265243501</v>
      </c>
      <c r="H11">
        <f t="shared" si="0"/>
        <v>0.9</v>
      </c>
    </row>
    <row r="12" spans="1:8" x14ac:dyDescent="0.25">
      <c r="A12">
        <v>0.149460534119431</v>
      </c>
      <c r="B12">
        <v>1.0012213134991801</v>
      </c>
      <c r="C12">
        <v>0.149460534119431</v>
      </c>
      <c r="F12">
        <f t="shared" si="1"/>
        <v>0.9</v>
      </c>
      <c r="G12">
        <f t="shared" si="0"/>
        <v>1.0012213134991801</v>
      </c>
      <c r="H12">
        <f t="shared" si="0"/>
        <v>0.9</v>
      </c>
    </row>
    <row r="13" spans="1:8" x14ac:dyDescent="0.25">
      <c r="A13">
        <v>0.46234991846321399</v>
      </c>
      <c r="B13">
        <v>1.0012101076291999</v>
      </c>
      <c r="C13">
        <v>0.46234991846321399</v>
      </c>
      <c r="F13">
        <f t="shared" si="1"/>
        <v>0.9</v>
      </c>
      <c r="G13">
        <f t="shared" si="0"/>
        <v>1.0012101076291999</v>
      </c>
      <c r="H13">
        <f t="shared" si="0"/>
        <v>0.9</v>
      </c>
    </row>
    <row r="14" spans="1:8" x14ac:dyDescent="0.25">
      <c r="A14">
        <v>0.52924217726031397</v>
      </c>
      <c r="B14">
        <v>1.0012077769433501</v>
      </c>
      <c r="C14">
        <v>0.52924217726031397</v>
      </c>
      <c r="F14">
        <f t="shared" si="1"/>
        <v>0.9</v>
      </c>
      <c r="G14">
        <f t="shared" si="0"/>
        <v>1.0012077769433501</v>
      </c>
      <c r="H14">
        <f t="shared" si="0"/>
        <v>0.9</v>
      </c>
    </row>
    <row r="15" spans="1:8" x14ac:dyDescent="0.25">
      <c r="A15">
        <v>0.62510929000271298</v>
      </c>
      <c r="B15">
        <v>1.00120440300869</v>
      </c>
      <c r="C15">
        <v>0.62510929000271298</v>
      </c>
      <c r="F15">
        <f t="shared" si="1"/>
        <v>0.9</v>
      </c>
      <c r="G15">
        <f t="shared" si="0"/>
        <v>1.00120440300869</v>
      </c>
      <c r="H15">
        <f t="shared" si="0"/>
        <v>0.9</v>
      </c>
    </row>
    <row r="16" spans="1:8" x14ac:dyDescent="0.25">
      <c r="A16">
        <v>0.62510929000271298</v>
      </c>
      <c r="B16">
        <v>1.00120440300869</v>
      </c>
      <c r="C16">
        <v>0.62510929000271298</v>
      </c>
      <c r="F16">
        <f t="shared" si="1"/>
        <v>0.9</v>
      </c>
      <c r="G16">
        <f t="shared" si="0"/>
        <v>1.00120440300869</v>
      </c>
      <c r="H16">
        <f t="shared" si="0"/>
        <v>0.9</v>
      </c>
    </row>
    <row r="17" spans="1:8" x14ac:dyDescent="0.25">
      <c r="A17">
        <v>0.30280676947211799</v>
      </c>
      <c r="B17">
        <v>1.0011848330911599</v>
      </c>
      <c r="C17">
        <v>0.30280676947211799</v>
      </c>
      <c r="F17">
        <f t="shared" si="1"/>
        <v>0.9</v>
      </c>
      <c r="G17">
        <f t="shared" si="0"/>
        <v>1.0011848330911599</v>
      </c>
      <c r="H17">
        <f t="shared" si="0"/>
        <v>0.9</v>
      </c>
    </row>
    <row r="18" spans="1:8" x14ac:dyDescent="0.25">
      <c r="A18">
        <v>0.229239364437685</v>
      </c>
      <c r="B18">
        <v>1.0011801357796</v>
      </c>
      <c r="C18">
        <v>0.229239364437685</v>
      </c>
      <c r="F18">
        <f t="shared" si="1"/>
        <v>0.9</v>
      </c>
      <c r="G18">
        <f t="shared" ref="G18:G70" si="2">IF(B18&lt;0.9,0.9,B18)</f>
        <v>1.0011801357796</v>
      </c>
      <c r="H18">
        <f t="shared" ref="H18:H70" si="3">IF(C18&lt;0.9,0.9,C18)</f>
        <v>0.9</v>
      </c>
    </row>
    <row r="19" spans="1:8" x14ac:dyDescent="0.25">
      <c r="A19">
        <v>0.12159709738732399</v>
      </c>
      <c r="B19">
        <v>1.00117118932768</v>
      </c>
      <c r="C19">
        <v>0.12159709738732399</v>
      </c>
      <c r="F19">
        <f t="shared" si="1"/>
        <v>0.9</v>
      </c>
      <c r="G19">
        <f t="shared" si="2"/>
        <v>1.00117118932768</v>
      </c>
      <c r="H19">
        <f t="shared" si="3"/>
        <v>0.9</v>
      </c>
    </row>
    <row r="20" spans="1:8" x14ac:dyDescent="0.25">
      <c r="A20">
        <v>0.12159709738732399</v>
      </c>
      <c r="B20">
        <v>1.00117118932768</v>
      </c>
      <c r="C20">
        <v>0.12159709738732399</v>
      </c>
      <c r="F20">
        <f t="shared" si="1"/>
        <v>0.9</v>
      </c>
      <c r="G20">
        <f t="shared" si="2"/>
        <v>1.00117118932768</v>
      </c>
      <c r="H20">
        <f t="shared" si="3"/>
        <v>0.9</v>
      </c>
    </row>
    <row r="21" spans="1:8" x14ac:dyDescent="0.25">
      <c r="A21">
        <v>0.120031845823905</v>
      </c>
      <c r="B21">
        <v>1.00117105826133</v>
      </c>
      <c r="C21">
        <v>0.120031845823905</v>
      </c>
      <c r="F21">
        <f t="shared" si="1"/>
        <v>0.9</v>
      </c>
      <c r="G21">
        <f t="shared" si="2"/>
        <v>1.00117105826133</v>
      </c>
      <c r="H21">
        <f t="shared" si="3"/>
        <v>0.9</v>
      </c>
    </row>
    <row r="22" spans="1:8" x14ac:dyDescent="0.25">
      <c r="A22">
        <v>3.4540529186329001E-2</v>
      </c>
      <c r="B22">
        <v>1.00116116002094</v>
      </c>
      <c r="C22">
        <v>3.4540529186329001E-2</v>
      </c>
      <c r="F22">
        <f t="shared" si="1"/>
        <v>0.9</v>
      </c>
      <c r="G22">
        <f t="shared" si="2"/>
        <v>1.00116116002094</v>
      </c>
      <c r="H22">
        <f t="shared" si="3"/>
        <v>0.9</v>
      </c>
    </row>
    <row r="23" spans="1:8" x14ac:dyDescent="0.25">
      <c r="A23">
        <v>2.8264898334626601E-2</v>
      </c>
      <c r="B23">
        <v>1.0011604235871401</v>
      </c>
      <c r="C23">
        <v>2.8264898334626601E-2</v>
      </c>
      <c r="F23">
        <f t="shared" si="1"/>
        <v>0.9</v>
      </c>
      <c r="G23">
        <f t="shared" si="2"/>
        <v>1.0011604235871401</v>
      </c>
      <c r="H23">
        <f t="shared" si="3"/>
        <v>0.9</v>
      </c>
    </row>
    <row r="24" spans="1:8" x14ac:dyDescent="0.25">
      <c r="A24">
        <v>2.8264898334626601E-2</v>
      </c>
      <c r="B24">
        <v>1.0011604235871401</v>
      </c>
      <c r="C24">
        <v>2.8264898334626601E-2</v>
      </c>
      <c r="F24">
        <f t="shared" si="1"/>
        <v>0.9</v>
      </c>
      <c r="G24">
        <f t="shared" si="2"/>
        <v>1.0011604235871401</v>
      </c>
      <c r="H24">
        <f t="shared" si="3"/>
        <v>0.9</v>
      </c>
    </row>
    <row r="25" spans="1:8" x14ac:dyDescent="0.25">
      <c r="A25">
        <v>1.3442971476414101E-2</v>
      </c>
      <c r="B25">
        <v>1.0011585849257501</v>
      </c>
      <c r="C25">
        <v>1.3442971476414101E-2</v>
      </c>
      <c r="F25">
        <f t="shared" si="1"/>
        <v>0.9</v>
      </c>
      <c r="G25">
        <f t="shared" si="2"/>
        <v>1.0011585849257501</v>
      </c>
      <c r="H25">
        <f t="shared" si="3"/>
        <v>0.9</v>
      </c>
    </row>
    <row r="26" spans="1:8" x14ac:dyDescent="0.25">
      <c r="A26">
        <v>1.3442971476414101E-2</v>
      </c>
      <c r="B26">
        <v>1.0011585849257501</v>
      </c>
      <c r="C26">
        <v>1.3442971476414101E-2</v>
      </c>
      <c r="F26">
        <f t="shared" si="1"/>
        <v>0.9</v>
      </c>
      <c r="G26">
        <f t="shared" si="2"/>
        <v>1.0011585849257501</v>
      </c>
      <c r="H26">
        <f t="shared" si="3"/>
        <v>0.9</v>
      </c>
    </row>
    <row r="27" spans="1:8" x14ac:dyDescent="0.25">
      <c r="A27">
        <v>1.7716156214929699E-2</v>
      </c>
      <c r="B27">
        <v>1.0011542581439401</v>
      </c>
      <c r="C27">
        <v>1.7716156214929699E-2</v>
      </c>
      <c r="F27">
        <f t="shared" si="1"/>
        <v>0.9</v>
      </c>
      <c r="G27">
        <f t="shared" si="2"/>
        <v>1.0011542581439401</v>
      </c>
      <c r="H27">
        <f t="shared" si="3"/>
        <v>0.9</v>
      </c>
    </row>
    <row r="28" spans="1:8" x14ac:dyDescent="0.25">
      <c r="A28">
        <v>3.0013546054626299E-2</v>
      </c>
      <c r="B28">
        <v>1.0011524732021799</v>
      </c>
      <c r="C28">
        <v>3.0013546054626299E-2</v>
      </c>
      <c r="F28">
        <f t="shared" si="1"/>
        <v>0.9</v>
      </c>
      <c r="G28">
        <f t="shared" si="2"/>
        <v>1.0011524732021799</v>
      </c>
      <c r="H28">
        <f t="shared" si="3"/>
        <v>0.9</v>
      </c>
    </row>
    <row r="29" spans="1:8" x14ac:dyDescent="0.25">
      <c r="A29">
        <v>4.2253318233381298E-2</v>
      </c>
      <c r="B29">
        <v>1.00115061426167</v>
      </c>
      <c r="C29">
        <v>4.2253318233381298E-2</v>
      </c>
      <c r="F29">
        <f t="shared" si="1"/>
        <v>0.9</v>
      </c>
      <c r="G29">
        <f t="shared" si="2"/>
        <v>1.00115061426167</v>
      </c>
      <c r="H29">
        <f t="shared" si="3"/>
        <v>0.9</v>
      </c>
    </row>
    <row r="30" spans="1:8" x14ac:dyDescent="0.25">
      <c r="A30">
        <v>0.99936888335145002</v>
      </c>
      <c r="B30">
        <v>0.99936888335145002</v>
      </c>
      <c r="C30">
        <v>0.99936888335145002</v>
      </c>
      <c r="F30">
        <f t="shared" si="1"/>
        <v>0.99936888335145002</v>
      </c>
      <c r="G30">
        <f t="shared" si="2"/>
        <v>0.99936888335145002</v>
      </c>
      <c r="H30">
        <f t="shared" si="3"/>
        <v>0.99936888335145002</v>
      </c>
    </row>
    <row r="31" spans="1:8" x14ac:dyDescent="0.25">
      <c r="A31">
        <v>0.99936888335145002</v>
      </c>
      <c r="B31">
        <v>0.99936888335145002</v>
      </c>
      <c r="C31">
        <v>0.99936888335145002</v>
      </c>
      <c r="F31">
        <f t="shared" si="1"/>
        <v>0.99936888335145002</v>
      </c>
      <c r="G31">
        <f t="shared" si="2"/>
        <v>0.99936888335145002</v>
      </c>
      <c r="H31">
        <f t="shared" si="3"/>
        <v>0.99936888335145002</v>
      </c>
    </row>
    <row r="32" spans="1:8" x14ac:dyDescent="0.25">
      <c r="A32">
        <v>0.99936888335145002</v>
      </c>
      <c r="B32">
        <v>0.99936888335145002</v>
      </c>
      <c r="C32">
        <v>0.99936888335145002</v>
      </c>
      <c r="F32">
        <f t="shared" si="1"/>
        <v>0.99936888335145002</v>
      </c>
      <c r="G32">
        <f t="shared" si="2"/>
        <v>0.99936888335145002</v>
      </c>
      <c r="H32">
        <f t="shared" si="3"/>
        <v>0.99936888335145002</v>
      </c>
    </row>
    <row r="33" spans="1:8" x14ac:dyDescent="0.25">
      <c r="A33">
        <v>0.99936888335145002</v>
      </c>
      <c r="B33">
        <v>0.99936888335145002</v>
      </c>
      <c r="C33">
        <v>0.99936888335145002</v>
      </c>
      <c r="F33">
        <f t="shared" si="1"/>
        <v>0.99936888335145002</v>
      </c>
      <c r="G33">
        <f t="shared" si="2"/>
        <v>0.99936888335145002</v>
      </c>
      <c r="H33">
        <f t="shared" si="3"/>
        <v>0.99936888335145002</v>
      </c>
    </row>
    <row r="34" spans="1:8" x14ac:dyDescent="0.25">
      <c r="A34">
        <v>0.98704853769793099</v>
      </c>
      <c r="B34">
        <v>0.98704853769793099</v>
      </c>
      <c r="C34">
        <v>0.98704853769793099</v>
      </c>
      <c r="F34">
        <f t="shared" si="1"/>
        <v>0.98704853769793099</v>
      </c>
      <c r="G34">
        <f t="shared" si="2"/>
        <v>0.98704853769793099</v>
      </c>
      <c r="H34">
        <f t="shared" si="3"/>
        <v>0.98704853769793099</v>
      </c>
    </row>
    <row r="35" spans="1:8" x14ac:dyDescent="0.25">
      <c r="A35">
        <v>0.94381435162293503</v>
      </c>
      <c r="B35">
        <v>0.94381435162293503</v>
      </c>
      <c r="C35">
        <v>0.94381435162293503</v>
      </c>
      <c r="F35">
        <f t="shared" si="1"/>
        <v>0.94381435162293503</v>
      </c>
      <c r="G35">
        <f t="shared" si="2"/>
        <v>0.94381435162293503</v>
      </c>
      <c r="H35">
        <f t="shared" si="3"/>
        <v>0.94381435162293503</v>
      </c>
    </row>
    <row r="36" spans="1:8" x14ac:dyDescent="0.25">
      <c r="A36">
        <v>0.91634852385877896</v>
      </c>
      <c r="B36">
        <v>0.91634852385877896</v>
      </c>
      <c r="C36">
        <v>0.85279105208099404</v>
      </c>
      <c r="F36">
        <f t="shared" si="1"/>
        <v>0.91634852385877896</v>
      </c>
      <c r="G36">
        <f t="shared" si="2"/>
        <v>0.91634852385877896</v>
      </c>
      <c r="H36">
        <f t="shared" si="3"/>
        <v>0.9</v>
      </c>
    </row>
    <row r="37" spans="1:8" x14ac:dyDescent="0.25">
      <c r="A37">
        <v>0.79526911851784299</v>
      </c>
      <c r="B37">
        <v>0.79526911851784299</v>
      </c>
      <c r="C37">
        <v>0.82021318718739</v>
      </c>
      <c r="F37">
        <f t="shared" si="1"/>
        <v>0.9</v>
      </c>
      <c r="G37">
        <f t="shared" si="2"/>
        <v>0.9</v>
      </c>
      <c r="H37">
        <f t="shared" si="3"/>
        <v>0.9</v>
      </c>
    </row>
    <row r="38" spans="1:8" x14ac:dyDescent="0.25">
      <c r="A38">
        <v>0.99936888335145002</v>
      </c>
      <c r="B38">
        <v>0.99936888335145002</v>
      </c>
      <c r="C38">
        <v>0.99936888335145002</v>
      </c>
      <c r="F38">
        <f t="shared" si="1"/>
        <v>0.99936888335145002</v>
      </c>
      <c r="G38">
        <f t="shared" si="2"/>
        <v>0.99936888335145002</v>
      </c>
      <c r="H38">
        <f t="shared" si="3"/>
        <v>0.99936888335145002</v>
      </c>
    </row>
    <row r="39" spans="1:8" x14ac:dyDescent="0.25">
      <c r="A39">
        <v>0.99936888335145002</v>
      </c>
      <c r="B39">
        <v>0.99936888335145002</v>
      </c>
      <c r="C39">
        <v>0.99936888335145002</v>
      </c>
      <c r="F39">
        <f t="shared" si="1"/>
        <v>0.99936888335145002</v>
      </c>
      <c r="G39">
        <f t="shared" si="2"/>
        <v>0.99936888335145002</v>
      </c>
      <c r="H39">
        <f t="shared" si="3"/>
        <v>0.99936888335145002</v>
      </c>
    </row>
    <row r="40" spans="1:8" x14ac:dyDescent="0.25">
      <c r="A40">
        <v>0.99003312156155598</v>
      </c>
      <c r="B40">
        <v>0.99003312156155598</v>
      </c>
      <c r="C40">
        <v>0.99003312156155598</v>
      </c>
      <c r="F40">
        <f t="shared" si="1"/>
        <v>0.99003312156155598</v>
      </c>
      <c r="G40">
        <f t="shared" si="2"/>
        <v>0.99003312156155598</v>
      </c>
      <c r="H40">
        <f t="shared" si="3"/>
        <v>0.99003312156155598</v>
      </c>
    </row>
    <row r="41" spans="1:8" x14ac:dyDescent="0.25">
      <c r="A41">
        <v>0.98733040947682804</v>
      </c>
      <c r="B41">
        <v>0.98733040947682804</v>
      </c>
      <c r="C41">
        <v>0.98733040947682804</v>
      </c>
      <c r="F41">
        <f t="shared" si="1"/>
        <v>0.98733040947682804</v>
      </c>
      <c r="G41">
        <f t="shared" si="2"/>
        <v>0.98733040947682804</v>
      </c>
      <c r="H41">
        <f t="shared" si="3"/>
        <v>0.98733040947682804</v>
      </c>
    </row>
    <row r="42" spans="1:8" x14ac:dyDescent="0.25">
      <c r="A42">
        <v>0.98732177516441599</v>
      </c>
      <c r="B42">
        <v>0.98732177516441599</v>
      </c>
      <c r="C42">
        <v>0.98732177516441599</v>
      </c>
      <c r="F42">
        <f t="shared" si="1"/>
        <v>0.98732177516441599</v>
      </c>
      <c r="G42">
        <f t="shared" si="2"/>
        <v>0.98732177516441599</v>
      </c>
      <c r="H42">
        <f t="shared" si="3"/>
        <v>0.98732177516441599</v>
      </c>
    </row>
    <row r="43" spans="1:8" x14ac:dyDescent="0.25">
      <c r="A43">
        <v>0.98732177516441599</v>
      </c>
      <c r="B43">
        <v>0.98732177516441599</v>
      </c>
      <c r="C43">
        <v>0.98732177516441599</v>
      </c>
      <c r="F43">
        <f t="shared" si="1"/>
        <v>0.98732177516441599</v>
      </c>
      <c r="G43">
        <f t="shared" si="2"/>
        <v>0.98732177516441599</v>
      </c>
      <c r="H43">
        <f t="shared" si="3"/>
        <v>0.98732177516441599</v>
      </c>
    </row>
    <row r="44" spans="1:8" x14ac:dyDescent="0.25">
      <c r="A44">
        <v>0.98034022612062299</v>
      </c>
      <c r="B44">
        <v>0.98034022612062299</v>
      </c>
      <c r="C44">
        <v>0.98034022612062299</v>
      </c>
      <c r="F44">
        <f t="shared" si="1"/>
        <v>0.98034022612062299</v>
      </c>
      <c r="G44">
        <f t="shared" si="2"/>
        <v>0.98034022612062299</v>
      </c>
      <c r="H44">
        <f t="shared" si="3"/>
        <v>0.98034022612062299</v>
      </c>
    </row>
    <row r="45" spans="1:8" x14ac:dyDescent="0.25">
      <c r="A45">
        <v>0.98034022612062299</v>
      </c>
      <c r="B45">
        <v>0.98034022612062299</v>
      </c>
      <c r="C45">
        <v>0.98034022612062299</v>
      </c>
      <c r="F45">
        <f t="shared" si="1"/>
        <v>0.98034022612062299</v>
      </c>
      <c r="G45">
        <f t="shared" si="2"/>
        <v>0.98034022612062299</v>
      </c>
      <c r="H45">
        <f t="shared" si="3"/>
        <v>0.98034022612062299</v>
      </c>
    </row>
    <row r="46" spans="1:8" x14ac:dyDescent="0.25">
      <c r="A46">
        <v>0.97897779767786697</v>
      </c>
      <c r="B46">
        <v>0.97897779767786697</v>
      </c>
      <c r="C46">
        <v>0.97897779767786697</v>
      </c>
      <c r="F46">
        <f t="shared" si="1"/>
        <v>0.97897779767786697</v>
      </c>
      <c r="G46">
        <f t="shared" si="2"/>
        <v>0.97897779767786697</v>
      </c>
      <c r="H46">
        <f t="shared" si="3"/>
        <v>0.97897779767786697</v>
      </c>
    </row>
    <row r="47" spans="1:8" x14ac:dyDescent="0.25">
      <c r="A47">
        <v>0.96254951653812204</v>
      </c>
      <c r="B47">
        <v>0.96254951653812204</v>
      </c>
      <c r="C47">
        <v>0.96254951653812204</v>
      </c>
      <c r="F47">
        <f t="shared" si="1"/>
        <v>0.96254951653812204</v>
      </c>
      <c r="G47">
        <f t="shared" si="2"/>
        <v>0.96254951653812204</v>
      </c>
      <c r="H47">
        <f t="shared" si="3"/>
        <v>0.96254951653812204</v>
      </c>
    </row>
    <row r="48" spans="1:8" x14ac:dyDescent="0.25">
      <c r="A48">
        <v>0.96254951653812204</v>
      </c>
      <c r="B48">
        <v>0.96254951653812204</v>
      </c>
      <c r="C48">
        <v>0.96254951653812204</v>
      </c>
      <c r="F48">
        <f t="shared" si="1"/>
        <v>0.96254951653812204</v>
      </c>
      <c r="G48">
        <f t="shared" si="2"/>
        <v>0.96254951653812204</v>
      </c>
      <c r="H48">
        <f t="shared" si="3"/>
        <v>0.96254951653812204</v>
      </c>
    </row>
    <row r="49" spans="1:8" x14ac:dyDescent="0.25">
      <c r="A49">
        <v>0.99851217584734797</v>
      </c>
      <c r="B49">
        <v>1.0012959521265701</v>
      </c>
      <c r="C49">
        <v>0.99851217584734797</v>
      </c>
      <c r="F49">
        <f t="shared" si="1"/>
        <v>0.99851217584734797</v>
      </c>
      <c r="G49">
        <f t="shared" si="2"/>
        <v>1.0012959521265701</v>
      </c>
      <c r="H49">
        <f t="shared" si="3"/>
        <v>0.99851217584734797</v>
      </c>
    </row>
    <row r="50" spans="1:8" x14ac:dyDescent="0.25">
      <c r="A50">
        <v>0.73683120747721498</v>
      </c>
      <c r="B50">
        <v>1.0012659974292399</v>
      </c>
      <c r="C50">
        <v>0.73683120747721498</v>
      </c>
      <c r="F50">
        <f t="shared" si="1"/>
        <v>0.9</v>
      </c>
      <c r="G50">
        <f t="shared" si="2"/>
        <v>1.0012659974292399</v>
      </c>
      <c r="H50">
        <f t="shared" si="3"/>
        <v>0.9</v>
      </c>
    </row>
    <row r="51" spans="1:8" x14ac:dyDescent="0.25">
      <c r="A51">
        <v>0.32458582445235101</v>
      </c>
      <c r="B51">
        <v>1.00116393424501</v>
      </c>
      <c r="C51">
        <v>0.32458582445235101</v>
      </c>
      <c r="F51">
        <f t="shared" si="1"/>
        <v>0.9</v>
      </c>
      <c r="G51">
        <f t="shared" si="2"/>
        <v>1.00116393424501</v>
      </c>
      <c r="H51">
        <f t="shared" si="3"/>
        <v>0.9</v>
      </c>
    </row>
    <row r="52" spans="1:8" x14ac:dyDescent="0.25">
      <c r="A52">
        <v>0.35536244783946103</v>
      </c>
      <c r="B52">
        <v>1.00116092676601</v>
      </c>
      <c r="C52">
        <v>0.35536244783946103</v>
      </c>
      <c r="F52">
        <f t="shared" si="1"/>
        <v>0.9</v>
      </c>
      <c r="G52">
        <f t="shared" si="2"/>
        <v>1.00116092676601</v>
      </c>
      <c r="H52">
        <f t="shared" si="3"/>
        <v>0.9</v>
      </c>
    </row>
    <row r="53" spans="1:8" x14ac:dyDescent="0.25">
      <c r="A53">
        <v>0.856734579493034</v>
      </c>
      <c r="B53">
        <v>1.0012749319876599</v>
      </c>
      <c r="C53">
        <v>0.856734579493034</v>
      </c>
      <c r="F53">
        <f t="shared" si="1"/>
        <v>0.9</v>
      </c>
      <c r="G53">
        <f t="shared" si="2"/>
        <v>1.0012749319876599</v>
      </c>
      <c r="H53">
        <f t="shared" si="3"/>
        <v>0.9</v>
      </c>
    </row>
    <row r="54" spans="1:8" x14ac:dyDescent="0.25">
      <c r="A54">
        <v>0.85235585394887903</v>
      </c>
      <c r="B54">
        <v>1.0012743154058501</v>
      </c>
      <c r="C54">
        <v>0.85235585394887903</v>
      </c>
      <c r="F54">
        <f t="shared" si="1"/>
        <v>0.9</v>
      </c>
      <c r="G54">
        <f t="shared" si="2"/>
        <v>1.0012743154058501</v>
      </c>
      <c r="H54">
        <f t="shared" si="3"/>
        <v>0.9</v>
      </c>
    </row>
    <row r="55" spans="1:8" x14ac:dyDescent="0.25">
      <c r="A55">
        <v>0.80650036049246698</v>
      </c>
      <c r="B55">
        <v>1.00126823378617</v>
      </c>
      <c r="C55">
        <v>0.80650036049246698</v>
      </c>
      <c r="F55">
        <f t="shared" si="1"/>
        <v>0.9</v>
      </c>
      <c r="G55">
        <f t="shared" si="2"/>
        <v>1.00126823378617</v>
      </c>
      <c r="H55">
        <f t="shared" si="3"/>
        <v>0.9</v>
      </c>
    </row>
    <row r="56" spans="1:8" x14ac:dyDescent="0.25">
      <c r="A56">
        <v>0.78956566346170298</v>
      </c>
      <c r="B56">
        <v>1.0012660163186</v>
      </c>
      <c r="C56">
        <v>0.78956566346170298</v>
      </c>
      <c r="F56">
        <f t="shared" si="1"/>
        <v>0.9</v>
      </c>
      <c r="G56">
        <f t="shared" si="2"/>
        <v>1.0012660163186</v>
      </c>
      <c r="H56">
        <f t="shared" si="3"/>
        <v>0.9</v>
      </c>
    </row>
    <row r="57" spans="1:8" x14ac:dyDescent="0.25">
      <c r="A57">
        <v>0.78956566346170298</v>
      </c>
      <c r="B57">
        <v>1.0012660163186</v>
      </c>
      <c r="C57">
        <v>0.78956566346170298</v>
      </c>
      <c r="F57">
        <f t="shared" si="1"/>
        <v>0.9</v>
      </c>
      <c r="G57">
        <f t="shared" si="2"/>
        <v>1.0012660163186</v>
      </c>
      <c r="H57">
        <f t="shared" si="3"/>
        <v>0.9</v>
      </c>
    </row>
    <row r="58" spans="1:8" x14ac:dyDescent="0.25">
      <c r="A58">
        <v>0.78956566346170298</v>
      </c>
      <c r="B58">
        <v>1.0012660163186</v>
      </c>
      <c r="C58">
        <v>0.78956566346170298</v>
      </c>
      <c r="F58">
        <f t="shared" si="1"/>
        <v>0.9</v>
      </c>
      <c r="G58">
        <f t="shared" si="2"/>
        <v>1.0012660163186</v>
      </c>
      <c r="H58">
        <f t="shared" si="3"/>
        <v>0.9</v>
      </c>
    </row>
    <row r="59" spans="1:8" x14ac:dyDescent="0.25">
      <c r="A59">
        <v>0.78956566346170298</v>
      </c>
      <c r="B59">
        <v>1.0012660163186</v>
      </c>
      <c r="C59">
        <v>0.78956566346170298</v>
      </c>
      <c r="F59">
        <f t="shared" si="1"/>
        <v>0.9</v>
      </c>
      <c r="G59">
        <f t="shared" si="2"/>
        <v>1.0012660163186</v>
      </c>
      <c r="H59">
        <f t="shared" si="3"/>
        <v>0.9</v>
      </c>
    </row>
    <row r="60" spans="1:8" x14ac:dyDescent="0.25">
      <c r="A60">
        <v>0.60909195762493495</v>
      </c>
      <c r="B60">
        <v>1.0012335516627999</v>
      </c>
      <c r="C60">
        <v>0.60909195762493495</v>
      </c>
      <c r="F60">
        <f t="shared" si="1"/>
        <v>0.9</v>
      </c>
      <c r="G60">
        <f t="shared" si="2"/>
        <v>1.0012335516627999</v>
      </c>
      <c r="H60">
        <f t="shared" si="3"/>
        <v>0.9</v>
      </c>
    </row>
    <row r="61" spans="1:8" x14ac:dyDescent="0.25">
      <c r="A61">
        <v>0.60909195762493495</v>
      </c>
      <c r="B61">
        <v>1.0012335516627999</v>
      </c>
      <c r="C61">
        <v>0.60909195762493495</v>
      </c>
      <c r="F61">
        <f t="shared" si="1"/>
        <v>0.9</v>
      </c>
      <c r="G61">
        <f t="shared" si="2"/>
        <v>1.0012335516627999</v>
      </c>
      <c r="H61">
        <f t="shared" si="3"/>
        <v>0.9</v>
      </c>
    </row>
    <row r="62" spans="1:8" x14ac:dyDescent="0.25">
      <c r="A62">
        <v>0.146496701071825</v>
      </c>
      <c r="B62">
        <v>1.00103842369539</v>
      </c>
      <c r="C62">
        <v>0.146496701071825</v>
      </c>
      <c r="F62">
        <f t="shared" si="1"/>
        <v>0.9</v>
      </c>
      <c r="G62">
        <f t="shared" si="2"/>
        <v>1.00103842369539</v>
      </c>
      <c r="H62">
        <f t="shared" si="3"/>
        <v>0.9</v>
      </c>
    </row>
    <row r="63" spans="1:8" x14ac:dyDescent="0.25">
      <c r="A63">
        <v>0.12959373583699099</v>
      </c>
      <c r="B63">
        <v>1.00103101529879</v>
      </c>
      <c r="C63">
        <v>0.12959373583699099</v>
      </c>
      <c r="F63">
        <f t="shared" si="1"/>
        <v>0.9</v>
      </c>
      <c r="G63">
        <f t="shared" si="2"/>
        <v>1.00103101529879</v>
      </c>
      <c r="H63">
        <f t="shared" si="3"/>
        <v>0.9</v>
      </c>
    </row>
    <row r="64" spans="1:8" x14ac:dyDescent="0.25">
      <c r="A64">
        <v>0.12959373583699099</v>
      </c>
      <c r="B64">
        <v>1.00103101529879</v>
      </c>
      <c r="C64">
        <v>0.12959373583699099</v>
      </c>
      <c r="F64">
        <f t="shared" si="1"/>
        <v>0.9</v>
      </c>
      <c r="G64">
        <f t="shared" si="2"/>
        <v>1.00103101529879</v>
      </c>
      <c r="H64">
        <f t="shared" si="3"/>
        <v>0.9</v>
      </c>
    </row>
    <row r="65" spans="1:8" x14ac:dyDescent="0.25">
      <c r="A65">
        <v>9.6721478466571198E-2</v>
      </c>
      <c r="B65">
        <v>1.0010160308648901</v>
      </c>
      <c r="C65">
        <v>9.6721478466571198E-2</v>
      </c>
      <c r="F65">
        <f t="shared" si="1"/>
        <v>0.9</v>
      </c>
      <c r="G65">
        <f t="shared" si="2"/>
        <v>1.0010160308648901</v>
      </c>
      <c r="H65">
        <f t="shared" si="3"/>
        <v>0.9</v>
      </c>
    </row>
    <row r="66" spans="1:8" x14ac:dyDescent="0.25">
      <c r="A66">
        <v>5.6793056152060498E-2</v>
      </c>
      <c r="B66">
        <v>1.0009969547964399</v>
      </c>
      <c r="C66">
        <v>5.6793056152060498E-2</v>
      </c>
      <c r="F66">
        <f t="shared" si="1"/>
        <v>0.9</v>
      </c>
      <c r="G66">
        <f t="shared" si="2"/>
        <v>1.0009969547964399</v>
      </c>
      <c r="H66">
        <f t="shared" si="3"/>
        <v>0.9</v>
      </c>
    </row>
    <row r="67" spans="1:8" x14ac:dyDescent="0.25">
      <c r="A67">
        <v>3.9219920432319998E-2</v>
      </c>
      <c r="B67">
        <v>1.00098839475221</v>
      </c>
      <c r="C67">
        <v>3.9219920432319998E-2</v>
      </c>
      <c r="F67">
        <f t="shared" ref="F67:F70" si="4">IF(A67&lt;0.9,0.9,A67)</f>
        <v>0.9</v>
      </c>
      <c r="G67">
        <f t="shared" si="2"/>
        <v>1.00098839475221</v>
      </c>
      <c r="H67">
        <f t="shared" si="3"/>
        <v>0.9</v>
      </c>
    </row>
    <row r="68" spans="1:8" x14ac:dyDescent="0.25">
      <c r="A68">
        <v>0.50556586964656203</v>
      </c>
      <c r="B68">
        <v>1.00120863407015</v>
      </c>
      <c r="C68">
        <v>0.50556586964656203</v>
      </c>
      <c r="F68">
        <f t="shared" si="4"/>
        <v>0.9</v>
      </c>
      <c r="G68">
        <f t="shared" si="2"/>
        <v>1.00120863407015</v>
      </c>
      <c r="H68">
        <f t="shared" si="3"/>
        <v>0.9</v>
      </c>
    </row>
    <row r="69" spans="1:8" x14ac:dyDescent="0.25">
      <c r="A69">
        <v>0.507129204654029</v>
      </c>
      <c r="B69">
        <v>1.0012085808125599</v>
      </c>
      <c r="C69">
        <v>0.507129204654029</v>
      </c>
      <c r="F69">
        <f t="shared" si="4"/>
        <v>0.9</v>
      </c>
      <c r="G69">
        <f t="shared" si="2"/>
        <v>1.0012085808125599</v>
      </c>
      <c r="H69">
        <f t="shared" si="3"/>
        <v>0.9</v>
      </c>
    </row>
    <row r="70" spans="1:8" x14ac:dyDescent="0.25">
      <c r="A70">
        <v>0.67895772779345898</v>
      </c>
      <c r="B70">
        <v>1.00119923605382</v>
      </c>
      <c r="C70">
        <v>0.67895772779345898</v>
      </c>
      <c r="F70">
        <f t="shared" si="4"/>
        <v>0.9</v>
      </c>
      <c r="G70">
        <f t="shared" si="2"/>
        <v>1.00119923605382</v>
      </c>
      <c r="H70">
        <f t="shared" si="3"/>
        <v>0.9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BusData</vt:lpstr>
      <vt:lpstr>BranchData</vt:lpstr>
      <vt:lpstr>Table 4.1</vt:lpstr>
      <vt:lpstr>Table 4.2</vt:lpstr>
      <vt:lpstr>Table 4.3</vt:lpstr>
      <vt:lpstr>Table 4.4</vt:lpstr>
      <vt:lpstr>Table 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Ilyasa Pahlevi</dc:creator>
  <cp:lastModifiedBy>Ilyasa Pahlevi</cp:lastModifiedBy>
  <dcterms:created xsi:type="dcterms:W3CDTF">2024-06-20T10:24:32Z</dcterms:created>
  <dcterms:modified xsi:type="dcterms:W3CDTF">2024-06-24T15:17:09Z</dcterms:modified>
</cp:coreProperties>
</file>